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p10/Partners Healthcare Dropbox/Theodore Pak/UCI/src/clarity-snakemake-uci/mapping/uci-ri/"/>
    </mc:Choice>
  </mc:AlternateContent>
  <xr:revisionPtr revIDLastSave="0" documentId="13_ncr:1_{A099A742-3BF3-9B48-9D35-3A5875FE552D}" xr6:coauthVersionLast="47" xr6:coauthVersionMax="47" xr10:uidLastSave="{00000000-0000-0000-0000-000000000000}"/>
  <bookViews>
    <workbookView xWindow="3080" yWindow="4080" windowWidth="17160" windowHeight="21000" xr2:uid="{5FF92C89-5F5C-0F4D-9681-072752D9D6F1}"/>
  </bookViews>
  <sheets>
    <sheet name="antibiotic_map" sheetId="1" r:id="rId1"/>
    <sheet name="antibiotic_code_map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9" i="1" l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192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19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3" i="1"/>
  <c r="C194" i="1"/>
  <c r="C195" i="1"/>
  <c r="C2" i="1"/>
</calcChain>
</file>

<file path=xl/sharedStrings.xml><?xml version="1.0" encoding="utf-8"?>
<sst xmlns="http://schemas.openxmlformats.org/spreadsheetml/2006/main" count="1108" uniqueCount="713">
  <si>
    <t>fosfomycin</t>
  </si>
  <si>
    <t>ciprofloxacin</t>
  </si>
  <si>
    <t>levofloxacin</t>
  </si>
  <si>
    <t>vancomycin</t>
  </si>
  <si>
    <t>clindamycin</t>
  </si>
  <si>
    <t>gentamicin</t>
  </si>
  <si>
    <t>tigecycline</t>
  </si>
  <si>
    <t>imipenem</t>
  </si>
  <si>
    <t>piperacillin</t>
  </si>
  <si>
    <t>colistin</t>
  </si>
  <si>
    <t>CARBAPENEMASE PCR</t>
  </si>
  <si>
    <t>PENICILLIN</t>
  </si>
  <si>
    <t>voriconazole</t>
  </si>
  <si>
    <t>antibioticNM</t>
  </si>
  <si>
    <t>5FC</t>
  </si>
  <si>
    <t>flucytosine</t>
  </si>
  <si>
    <t>AFG</t>
  </si>
  <si>
    <t>anidulafungin</t>
  </si>
  <si>
    <t>AMB</t>
  </si>
  <si>
    <t>amphotericin_B</t>
  </si>
  <si>
    <t>AMC</t>
  </si>
  <si>
    <t>amoxicillin_clavulanate</t>
  </si>
  <si>
    <t>AMK</t>
  </si>
  <si>
    <t>amikacin</t>
  </si>
  <si>
    <t>AMP</t>
  </si>
  <si>
    <t>ampicillin</t>
  </si>
  <si>
    <t>AMX</t>
  </si>
  <si>
    <t>amoxicillin</t>
  </si>
  <si>
    <t>ATM</t>
  </si>
  <si>
    <t>aztreonam</t>
  </si>
  <si>
    <t>ATM_AVI</t>
  </si>
  <si>
    <t>aztreonam_avibactam</t>
  </si>
  <si>
    <t>AZM</t>
  </si>
  <si>
    <t>azithromycin</t>
  </si>
  <si>
    <t>BDQ</t>
  </si>
  <si>
    <t>bedaquiline</t>
  </si>
  <si>
    <t>BLAC</t>
  </si>
  <si>
    <t>CAP</t>
  </si>
  <si>
    <t>capreomycin</t>
  </si>
  <si>
    <t>CARBA</t>
  </si>
  <si>
    <t>CAS</t>
  </si>
  <si>
    <t>caspofungin</t>
  </si>
  <si>
    <t>CAZ</t>
  </si>
  <si>
    <t>ceftazidime</t>
  </si>
  <si>
    <t>CAZ_AVI</t>
  </si>
  <si>
    <t>ceftazidime_avibactam</t>
  </si>
  <si>
    <t>CAZ_CLV</t>
  </si>
  <si>
    <t>ceftazidime_clavulanate</t>
  </si>
  <si>
    <t>CEC</t>
  </si>
  <si>
    <t>cefaclor</t>
  </si>
  <si>
    <t>CEF</t>
  </si>
  <si>
    <t>cephalothin</t>
  </si>
  <si>
    <t>CFM</t>
  </si>
  <si>
    <t>cefixime</t>
  </si>
  <si>
    <t>CFZ</t>
  </si>
  <si>
    <t>cefazolin</t>
  </si>
  <si>
    <t>CHL</t>
  </si>
  <si>
    <t>chloramphenicol</t>
  </si>
  <si>
    <t>CIP</t>
  </si>
  <si>
    <t>CLI</t>
  </si>
  <si>
    <t>CLO</t>
  </si>
  <si>
    <t>clofazimine</t>
  </si>
  <si>
    <t>CLR</t>
  </si>
  <si>
    <t>clarithromycin</t>
  </si>
  <si>
    <t>CLT</t>
  </si>
  <si>
    <t>clotrimazole</t>
  </si>
  <si>
    <t>CPD</t>
  </si>
  <si>
    <t>cefpodoxime</t>
  </si>
  <si>
    <t>CPT</t>
  </si>
  <si>
    <t>ceftaroline</t>
  </si>
  <si>
    <t>CRO</t>
  </si>
  <si>
    <t>ceftriaxone</t>
  </si>
  <si>
    <t>CST</t>
  </si>
  <si>
    <t>CTT</t>
  </si>
  <si>
    <t>cefotetan</t>
  </si>
  <si>
    <t>CTX</t>
  </si>
  <si>
    <t>cefotaxime</t>
  </si>
  <si>
    <t>CTX_CLV</t>
  </si>
  <si>
    <t>cefotaxime_clavulanate</t>
  </si>
  <si>
    <t>CXM</t>
  </si>
  <si>
    <t>cefuroxime</t>
  </si>
  <si>
    <t>DAP</t>
  </si>
  <si>
    <t>daptomycin</t>
  </si>
  <si>
    <t>DCS</t>
  </si>
  <si>
    <t>cycloserine</t>
  </si>
  <si>
    <t>DLX</t>
  </si>
  <si>
    <t>delafloxacin</t>
  </si>
  <si>
    <t>DOR</t>
  </si>
  <si>
    <t>doripenem</t>
  </si>
  <si>
    <t>DOX</t>
  </si>
  <si>
    <t>doxycycline</t>
  </si>
  <si>
    <t>EMB</t>
  </si>
  <si>
    <t>ethambutol</t>
  </si>
  <si>
    <t>EMB_RIF</t>
  </si>
  <si>
    <t>ethambutol_rifampin</t>
  </si>
  <si>
    <t>ERV</t>
  </si>
  <si>
    <t>eravacycline</t>
  </si>
  <si>
    <t>ERY</t>
  </si>
  <si>
    <t>erythromycin</t>
  </si>
  <si>
    <t>ESBL</t>
  </si>
  <si>
    <t>ETO</t>
  </si>
  <si>
    <t>ethionamide</t>
  </si>
  <si>
    <t>ETP</t>
  </si>
  <si>
    <t>ertapenem</t>
  </si>
  <si>
    <t>FA</t>
  </si>
  <si>
    <t>FAM</t>
  </si>
  <si>
    <t>cefamandole</t>
  </si>
  <si>
    <t>FDC</t>
  </si>
  <si>
    <t>cefiderocol</t>
  </si>
  <si>
    <t>FEP</t>
  </si>
  <si>
    <t>cefepime</t>
  </si>
  <si>
    <t>FLC</t>
  </si>
  <si>
    <t>fluconazole</t>
  </si>
  <si>
    <t>FOF</t>
  </si>
  <si>
    <t>FOX</t>
  </si>
  <si>
    <t>cefoxitin</t>
  </si>
  <si>
    <t>GAT</t>
  </si>
  <si>
    <t>gatifloxacin</t>
  </si>
  <si>
    <t>GEN</t>
  </si>
  <si>
    <t>GRF</t>
  </si>
  <si>
    <t>griseofulvin</t>
  </si>
  <si>
    <t>ICR</t>
  </si>
  <si>
    <t>INH</t>
  </si>
  <si>
    <t>isoniazid</t>
  </si>
  <si>
    <t>IPM</t>
  </si>
  <si>
    <t>IPM_REL</t>
  </si>
  <si>
    <t>imipenem_relebactam</t>
  </si>
  <si>
    <t>ISA</t>
  </si>
  <si>
    <t>isavuconazole</t>
  </si>
  <si>
    <t>ITC</t>
  </si>
  <si>
    <t>itraconazole</t>
  </si>
  <si>
    <t>KAN</t>
  </si>
  <si>
    <t>kanamycin</t>
  </si>
  <si>
    <t>KTC</t>
  </si>
  <si>
    <t>ketoconazole</t>
  </si>
  <si>
    <t>LVX</t>
  </si>
  <si>
    <t>LZD</t>
  </si>
  <si>
    <t>linezolid</t>
  </si>
  <si>
    <t>MCIM</t>
  </si>
  <si>
    <t>MCZ</t>
  </si>
  <si>
    <t>miconazole</t>
  </si>
  <si>
    <t>MEC</t>
  </si>
  <si>
    <t>MEM</t>
  </si>
  <si>
    <t>meropenem</t>
  </si>
  <si>
    <t>MEM_IMI</t>
  </si>
  <si>
    <t>meropenem_imipenem</t>
  </si>
  <si>
    <t>MEM_VAB</t>
  </si>
  <si>
    <t>meropenem_vaborbactam</t>
  </si>
  <si>
    <t>MFG</t>
  </si>
  <si>
    <t>micafungin</t>
  </si>
  <si>
    <t>MIN</t>
  </si>
  <si>
    <t>minocycline</t>
  </si>
  <si>
    <t>MTZ</t>
  </si>
  <si>
    <t>metronidazole</t>
  </si>
  <si>
    <t>MXF</t>
  </si>
  <si>
    <t>moxifloxacin</t>
  </si>
  <si>
    <t>NAL</t>
  </si>
  <si>
    <t>NAT</t>
  </si>
  <si>
    <t>natamycin</t>
  </si>
  <si>
    <t>NIT</t>
  </si>
  <si>
    <t>nitrofurantoin</t>
  </si>
  <si>
    <t>NOR</t>
  </si>
  <si>
    <t>norfloxacin</t>
  </si>
  <si>
    <t>NYT</t>
  </si>
  <si>
    <t>nystatin</t>
  </si>
  <si>
    <t>OFX</t>
  </si>
  <si>
    <t>ofloxacin</t>
  </si>
  <si>
    <t>OMC</t>
  </si>
  <si>
    <t>omadacycline</t>
  </si>
  <si>
    <t>OXA</t>
  </si>
  <si>
    <t>oxacillin</t>
  </si>
  <si>
    <t>PEN</t>
  </si>
  <si>
    <t>penicillin</t>
  </si>
  <si>
    <t>PIP</t>
  </si>
  <si>
    <t>PLZ</t>
  </si>
  <si>
    <t>plazomicin</t>
  </si>
  <si>
    <t>PMB</t>
  </si>
  <si>
    <t>polymyxin_B</t>
  </si>
  <si>
    <t>POS</t>
  </si>
  <si>
    <t>posaconazole</t>
  </si>
  <si>
    <t>PZA</t>
  </si>
  <si>
    <t>pyrazinamide</t>
  </si>
  <si>
    <t>QUD</t>
  </si>
  <si>
    <t>quinupristin_dalfopristin</t>
  </si>
  <si>
    <t>RFB</t>
  </si>
  <si>
    <t>rifabutin</t>
  </si>
  <si>
    <t>RIF</t>
  </si>
  <si>
    <t>rifampin</t>
  </si>
  <si>
    <t>SAM</t>
  </si>
  <si>
    <t>ampicillin_sulbactam</t>
  </si>
  <si>
    <t>SPT</t>
  </si>
  <si>
    <t>spectinomycin</t>
  </si>
  <si>
    <t>STR</t>
  </si>
  <si>
    <t>streptomycin</t>
  </si>
  <si>
    <t>SUL_DUR</t>
  </si>
  <si>
    <t>sulbactam_durlobactam</t>
  </si>
  <si>
    <t>SXM</t>
  </si>
  <si>
    <t>sulfamethoxazole</t>
  </si>
  <si>
    <t>SXT</t>
  </si>
  <si>
    <t>trimethoprim_sulfamethoxazole</t>
  </si>
  <si>
    <t>TET</t>
  </si>
  <si>
    <t>tetracycline</t>
  </si>
  <si>
    <t>TGC</t>
  </si>
  <si>
    <t>TIC</t>
  </si>
  <si>
    <t>ticarcillin</t>
  </si>
  <si>
    <t>TIM</t>
  </si>
  <si>
    <t>ticarcillin_clavulanate</t>
  </si>
  <si>
    <t>TLV</t>
  </si>
  <si>
    <t>telavancin</t>
  </si>
  <si>
    <t>TMP</t>
  </si>
  <si>
    <t>trimethoprim</t>
  </si>
  <si>
    <t>TOB</t>
  </si>
  <si>
    <t>tobramycin</t>
  </si>
  <si>
    <t>TOL_TAZ</t>
  </si>
  <si>
    <t>ceftolozane_tazobactam</t>
  </si>
  <si>
    <t>TRB</t>
  </si>
  <si>
    <t>terbinafine</t>
  </si>
  <si>
    <t>TRC</t>
  </si>
  <si>
    <t>terconazole</t>
  </si>
  <si>
    <t>TZP</t>
  </si>
  <si>
    <t>piperacillin_tazobactam</t>
  </si>
  <si>
    <t>VAN</t>
  </si>
  <si>
    <t>VRC</t>
  </si>
  <si>
    <t>antibiotic_short_code</t>
  </si>
  <si>
    <t>beta_lactamase</t>
  </si>
  <si>
    <t>carbapenemase</t>
  </si>
  <si>
    <t>PBP</t>
  </si>
  <si>
    <t>IMP</t>
  </si>
  <si>
    <t>NDM</t>
  </si>
  <si>
    <t>blaZ</t>
  </si>
  <si>
    <t>mecA</t>
  </si>
  <si>
    <t>VIM</t>
  </si>
  <si>
    <t>KPC</t>
  </si>
  <si>
    <t>enzyme_class</t>
  </si>
  <si>
    <t>enzyme</t>
  </si>
  <si>
    <t>antibioticAbbrev</t>
  </si>
  <si>
    <t>inducible_clindamycin_resistance</t>
  </si>
  <si>
    <t>antibioticConceptCode</t>
  </si>
  <si>
    <t>antibiotic_concept_code</t>
  </si>
  <si>
    <t>carbapenemase_oxa</t>
  </si>
  <si>
    <t>modified_carbapenem_inactivation_method</t>
  </si>
  <si>
    <t>carbapenemase_imp</t>
  </si>
  <si>
    <t>carbapenemase_ndm</t>
  </si>
  <si>
    <t>carbapenemase_other</t>
  </si>
  <si>
    <t>extended_spectrum_beta_lactamase</t>
  </si>
  <si>
    <t>penicillin_binding_protein_2a</t>
  </si>
  <si>
    <t>carbapenemase_vim</t>
  </si>
  <si>
    <t>carbapenemase_kpc</t>
  </si>
  <si>
    <t>rezafungin</t>
  </si>
  <si>
    <t>ceftizoxime</t>
  </si>
  <si>
    <t>nalidixic_acid</t>
  </si>
  <si>
    <t>fusidic_acid</t>
  </si>
  <si>
    <t>CZX</t>
  </si>
  <si>
    <t>https://whonet.org/WebDocs/WHONET_Antimicrobial_Codes.pdf</t>
  </si>
  <si>
    <t>Three-letter antimicrobial codes are generally based on WHONET's system</t>
  </si>
  <si>
    <t>RZF</t>
  </si>
  <si>
    <t>CEPHALOTHIN</t>
  </si>
  <si>
    <t>TRIMETHOPRIM/SULFAMETHOXAZOLE</t>
  </si>
  <si>
    <t>AMIKACIN</t>
  </si>
  <si>
    <t>AMOXICILLIN + CLAVULANATE</t>
  </si>
  <si>
    <t>AMPICILLIN</t>
  </si>
  <si>
    <t>AMPICILLIN + SULBACTAM</t>
  </si>
  <si>
    <t>AZTREONAM</t>
  </si>
  <si>
    <t>CEFAZOLIN</t>
  </si>
  <si>
    <t>CEFEPIME</t>
  </si>
  <si>
    <t>CEFOTAXIME</t>
  </si>
  <si>
    <t>CEFOXITIN</t>
  </si>
  <si>
    <t>CEFTAZIDIME</t>
  </si>
  <si>
    <t>CEFUROXIME</t>
  </si>
  <si>
    <t>CEFTRIAXONE</t>
  </si>
  <si>
    <t>TOBRAMYCIN</t>
  </si>
  <si>
    <t>CIPROFLOXACIN</t>
  </si>
  <si>
    <t>ERTAPENEM</t>
  </si>
  <si>
    <t>GENTAMICIN</t>
  </si>
  <si>
    <t>IMIPENEM</t>
  </si>
  <si>
    <t>LEVOFLOXACIN</t>
  </si>
  <si>
    <t>MEROPENEM</t>
  </si>
  <si>
    <t>NITROFURANTOIN</t>
  </si>
  <si>
    <t>PIPERACILLIN</t>
  </si>
  <si>
    <t>PIPERACILLIN-TAZOBACTAM</t>
  </si>
  <si>
    <t>TETRACYCLINE</t>
  </si>
  <si>
    <t>AMOXICILLIN-CLAVULANATE</t>
  </si>
  <si>
    <t>AMPICILLIN-SULBACTAM</t>
  </si>
  <si>
    <t>TIGECYCLINE</t>
  </si>
  <si>
    <t>MINOCYCLINE</t>
  </si>
  <si>
    <t>VANCOMYCIN</t>
  </si>
  <si>
    <t>RIFAMPIN</t>
  </si>
  <si>
    <t>PENICILLIN G</t>
  </si>
  <si>
    <t>OXACILLIN/CEPHALOSPORINS</t>
  </si>
  <si>
    <t>CLINDAMYCIN</t>
  </si>
  <si>
    <t>MOXIFLOXACIN</t>
  </si>
  <si>
    <t>INDUCIBLE CLINDAMYCIN RESISTANCE</t>
  </si>
  <si>
    <t>LINEZOLID</t>
  </si>
  <si>
    <t>ERYTHROMYCIN</t>
  </si>
  <si>
    <t>QUINUPRISTIN-DALFOPRISTIN</t>
  </si>
  <si>
    <t>VORICONAZOLE</t>
  </si>
  <si>
    <t>FLUCONAZOLE</t>
  </si>
  <si>
    <t>DAPTOMYCIN</t>
  </si>
  <si>
    <t>INDUCIBLE CLINDAMYCIN</t>
  </si>
  <si>
    <t>BETA LACTAMASE</t>
  </si>
  <si>
    <t>STREPTOMYCIN HIGH LEV</t>
  </si>
  <si>
    <t>GENTAMICIN HIGH LEVEL</t>
  </si>
  <si>
    <t>DOXYCYCLINE</t>
  </si>
  <si>
    <t>CHLORAMPHENICOL</t>
  </si>
  <si>
    <t>OXACILLIN(METHICILLIN)</t>
  </si>
  <si>
    <t>FOSFOMYCIN</t>
  </si>
  <si>
    <t>OXACILLIN</t>
  </si>
  <si>
    <t>QUINUPRISTIN/DALFOPRI</t>
  </si>
  <si>
    <t>AMPICILLIN/SULBACTAM</t>
  </si>
  <si>
    <t>CEFAZOLIN(URINE)</t>
  </si>
  <si>
    <t>CASPOFUNGIN</t>
  </si>
  <si>
    <t>POSACONAZOLE</t>
  </si>
  <si>
    <t>MICAFUNGIN</t>
  </si>
  <si>
    <t>ITRACONAZOLE</t>
  </si>
  <si>
    <t>FLUCYTOSINE</t>
  </si>
  <si>
    <t>AMPHOTERICIN B</t>
  </si>
  <si>
    <t>ANIDULAFUNGIN</t>
  </si>
  <si>
    <t>COLISTIN</t>
  </si>
  <si>
    <t>CEFTAROLINE</t>
  </si>
  <si>
    <t>TRIMETHOPRIM/SULFAMET</t>
  </si>
  <si>
    <t>ERAVACYCLINE</t>
  </si>
  <si>
    <t>MEROPENEM-VABORBACTAM</t>
  </si>
  <si>
    <t>CEFTAZIDIME-AVIBACTAM</t>
  </si>
  <si>
    <t>AMOXICILLIN/CLAVULANATE</t>
  </si>
  <si>
    <t>CEFOXITIN SCREEN</t>
  </si>
  <si>
    <t>CEFIDEROCOL</t>
  </si>
  <si>
    <t>TRIMETHOPRIM</t>
  </si>
  <si>
    <t>CEFTOLOZANE-TAZOBACTAM</t>
  </si>
  <si>
    <t>STREPTOMYCIN SYNERGY</t>
  </si>
  <si>
    <t>GENTAMICIN SYNERGY</t>
  </si>
  <si>
    <t>CLARITHROMYCIN</t>
  </si>
  <si>
    <t>CEFPODOXIME</t>
  </si>
  <si>
    <t>GENTAMICIN SYNERGY SCREEN</t>
  </si>
  <si>
    <t>PENICILLIN (MENINGITIS)</t>
  </si>
  <si>
    <t>PENICILLIN (NONMENINGITIS)</t>
  </si>
  <si>
    <t>CEFTRIAXONE (MENINGITIS)</t>
  </si>
  <si>
    <t>CEFTRIAXONE (NONMENINGITIS)</t>
  </si>
  <si>
    <t>CEFIXIME</t>
  </si>
  <si>
    <t>CLOFAZIMINE</t>
  </si>
  <si>
    <t>STREPTOMYCIN HIGH LEVEL</t>
  </si>
  <si>
    <t>TICARCILLIN-CLAVULANATE</t>
  </si>
  <si>
    <t>AZITHROMYCIN</t>
  </si>
  <si>
    <t>MEC GENE</t>
  </si>
  <si>
    <t>EXTENDED SPECTRUM B-LACTAMASE</t>
  </si>
  <si>
    <t>SULFAMETHOXAZOLE</t>
  </si>
  <si>
    <t>CEFOTETAN</t>
  </si>
  <si>
    <t>ISAVUCONAZOLE</t>
  </si>
  <si>
    <t>PENICILLIN (ORAL)</t>
  </si>
  <si>
    <t>OXACILLIN MIC</t>
  </si>
  <si>
    <t>IMIPENEM-RELEBACTAM</t>
  </si>
  <si>
    <t>INDUCIBLE CLINDAMYCIN RESISTAN</t>
  </si>
  <si>
    <t>PENICLILLIN</t>
  </si>
  <si>
    <t>PYRAZINAMIDE</t>
  </si>
  <si>
    <t>ETHAMBUTOL</t>
  </si>
  <si>
    <t>ISONIAZID</t>
  </si>
  <si>
    <t>ISONIAZID 0.2</t>
  </si>
  <si>
    <t>CYCLOSERINE 30.0</t>
  </si>
  <si>
    <t>ETHAMBUTOL 5.0</t>
  </si>
  <si>
    <t>AMIKACIN 4.0</t>
  </si>
  <si>
    <t>STREPTOMYCIN 10.0</t>
  </si>
  <si>
    <t>RIFAMPIN 1.0</t>
  </si>
  <si>
    <t>ISONIAZID 1.0</t>
  </si>
  <si>
    <t>MOXIFLOXACIN  0.5</t>
  </si>
  <si>
    <t>ETHIONAMIDE 5.0</t>
  </si>
  <si>
    <t>KANAMYCIN 5.0</t>
  </si>
  <si>
    <t>CAPREOMYCIN 10.0</t>
  </si>
  <si>
    <t>ISONIAZID 5.0</t>
  </si>
  <si>
    <t>CARBAPENEMASE DETECTION (NDM)</t>
  </si>
  <si>
    <t>CARBAPENEMASE DETECTION (VIM)</t>
  </si>
  <si>
    <t>CARBAPENEMASE DETECTION (IMP)</t>
  </si>
  <si>
    <t>CARBAPENEMASE DETECTION (KPC)</t>
  </si>
  <si>
    <t>CARBAPENEMASE DETECTION (OXA-48)</t>
  </si>
  <si>
    <t>TERBINAFINE</t>
  </si>
  <si>
    <t>RIFABUTIN</t>
  </si>
  <si>
    <t>TRIMETHOPRIM + SULFAMETHOXAZOLE</t>
  </si>
  <si>
    <t>OFLOXACIN</t>
  </si>
  <si>
    <t>SYNERCID</t>
  </si>
  <si>
    <t>5-FLUOROCYTOSINE</t>
  </si>
  <si>
    <t>STREPTOMYCIN SYNERGY SCREEN</t>
  </si>
  <si>
    <t>CEFACLOR</t>
  </si>
  <si>
    <t>SPECTINOMYCIN</t>
  </si>
  <si>
    <t>CARBAPENEMASE DETECTION (LATERAL FLOW)</t>
  </si>
  <si>
    <t>STREPTOMYCIN</t>
  </si>
  <si>
    <t>ETHAMBUTOL/RIFAMPIN COMBO EFFECT</t>
  </si>
  <si>
    <t>RIFAMPIN COMBO ASSAY</t>
  </si>
  <si>
    <t>ETHAMBUTOL COMBO ASSAY</t>
  </si>
  <si>
    <t>TELAVANCIN</t>
  </si>
  <si>
    <t>AMOXICILLIN</t>
  </si>
  <si>
    <t>REZAFUNGIN</t>
  </si>
  <si>
    <t>METRONIDAZOLE</t>
  </si>
  <si>
    <t>BETA LACTAMASE TEST</t>
  </si>
  <si>
    <t>DORIPENEM</t>
  </si>
  <si>
    <t>PLAZOMICIN</t>
  </si>
  <si>
    <t>METHICILLIN</t>
  </si>
  <si>
    <t>OMADACYCLINE</t>
  </si>
  <si>
    <t>DELAFLOXACIN</t>
  </si>
  <si>
    <t>SULBACTAM-DURLOBACTAM</t>
  </si>
  <si>
    <t>AZTREONAM-AVIBACTAM</t>
  </si>
  <si>
    <t>CEFTAZIDIME-K CLAVULANATE</t>
  </si>
  <si>
    <t>CEFOTAXIME-K CLAVULANATE</t>
  </si>
  <si>
    <t>TRIMETH-SULPHA</t>
  </si>
  <si>
    <t>MICONAZOLE</t>
  </si>
  <si>
    <t>TERCONAZOLE</t>
  </si>
  <si>
    <t>BEDAQUILINE</t>
  </si>
  <si>
    <t>PENICILLIN HIGH LEVEL</t>
  </si>
  <si>
    <t>PENICILLIN (MENINGITIDIS)</t>
  </si>
  <si>
    <t>CEFTRIAXONE (OTHER)</t>
  </si>
  <si>
    <t>CEFOTAXIME (OTHER)</t>
  </si>
  <si>
    <t>CEFOTAXIMEMEN</t>
  </si>
  <si>
    <t>RIFAMPIN        1.0</t>
  </si>
  <si>
    <t>PYRAZINAMIDE 100.0</t>
  </si>
  <si>
    <t>PENICILLIN (HIGH LEVEL)</t>
  </si>
  <si>
    <t>CEFTRIAXONE (NM)</t>
  </si>
  <si>
    <t>CEFTRIAXONE (M)</t>
  </si>
  <si>
    <t>KETOCONAZOLE</t>
  </si>
  <si>
    <t>ETHAMBUTOL 5</t>
  </si>
  <si>
    <t>ISONIAZID 0.1</t>
  </si>
  <si>
    <t>STREPTOMYCIN 1.0</t>
  </si>
  <si>
    <t>POLYMYXIN B</t>
  </si>
  <si>
    <t>CTX (NONMENINGITIS)</t>
  </si>
  <si>
    <t>MEROPENEM-IMIPENEM</t>
  </si>
  <si>
    <t>KANAMYCIN</t>
  </si>
  <si>
    <t>NYSTATIN</t>
  </si>
  <si>
    <t>GRISEOFULVIN</t>
  </si>
  <si>
    <t>CEFOTAXIME (NM) (VS)</t>
  </si>
  <si>
    <t>NATAMYCIN</t>
  </si>
  <si>
    <t>CLOTRIMAZOLE</t>
  </si>
  <si>
    <t>NALIDIXIC ACID</t>
  </si>
  <si>
    <t>CEFTIZOXIME</t>
  </si>
  <si>
    <t>CEFTOLOZANE/TAZOBACTAM</t>
  </si>
  <si>
    <t>CEFOTAXIME (M)</t>
  </si>
  <si>
    <t>CEFTRIAXONE (HIGH LEVEL)</t>
  </si>
  <si>
    <t>FUSIDIC ACID</t>
  </si>
  <si>
    <t>STREPTOMYCIN 2.0</t>
  </si>
  <si>
    <t>5-FLUCYTOSINE</t>
  </si>
  <si>
    <t>AMIKACIN 2.5 MCG/ML</t>
  </si>
  <si>
    <t>AMIKACIN 6 MCG/ML</t>
  </si>
  <si>
    <t>AMPHOTERICIN-B</t>
  </si>
  <si>
    <t>AUGMENTIN</t>
  </si>
  <si>
    <t>AZLOCILLIN</t>
  </si>
  <si>
    <t>BACITRACIN</t>
  </si>
  <si>
    <t>BETA LACTAMASE (PENICILLINASE)</t>
  </si>
  <si>
    <t>BETA LACTAMASE BO</t>
  </si>
  <si>
    <t>CAPREOMYCIN</t>
  </si>
  <si>
    <t>CAPREOMYCIN 10 MCG/ML</t>
  </si>
  <si>
    <t>CAPREOMYCIN 5 MCG/ML</t>
  </si>
  <si>
    <t>CARBAPENEMASE INTERNAL CONTROL</t>
  </si>
  <si>
    <t>CARBENICILLIN</t>
  </si>
  <si>
    <t>CEFAMANDOLE</t>
  </si>
  <si>
    <t>CEFAZOLIN CONFIRMATION</t>
  </si>
  <si>
    <t>CEFAZOLIN, COMPLICATED UTI OR SYSTEMIC INFECTION</t>
  </si>
  <si>
    <t>CEFAZOLIN, UNCOMPLICATED UTI</t>
  </si>
  <si>
    <t>CEFEPIME-SDD</t>
  </si>
  <si>
    <t>CEFONICID</t>
  </si>
  <si>
    <t>CEFORANIDE</t>
  </si>
  <si>
    <t>CEFOTAXIME, MENINGITIS</t>
  </si>
  <si>
    <t>CEFOTAXIME, NONMENINGITIS</t>
  </si>
  <si>
    <t>CEFOTAXIME/CLAVULANIC</t>
  </si>
  <si>
    <t>CEFOTIAM</t>
  </si>
  <si>
    <t>CEFPODOXIME-PROXETIL</t>
  </si>
  <si>
    <t>CEFTAZIDIME/AVIBACTAM</t>
  </si>
  <si>
    <t>CEFTAZIDIME/CLAVULANIC</t>
  </si>
  <si>
    <t>CEFTRIAXONE, MENINGITIS</t>
  </si>
  <si>
    <t>CEFTRIAXONE, NONMENINGITIS</t>
  </si>
  <si>
    <t>CEFUROXIME (IV)</t>
  </si>
  <si>
    <t>CEFUROXIME (PO)</t>
  </si>
  <si>
    <t>CEPHALEXIN</t>
  </si>
  <si>
    <t>CEPHRADINE</t>
  </si>
  <si>
    <t>CIPROFLOXACIN 0.5 MCG/ML</t>
  </si>
  <si>
    <t>CLARITHROMYCIN 3 MCG</t>
  </si>
  <si>
    <t>CLARITHROMYCIN 6 MCG</t>
  </si>
  <si>
    <t>CLARITHROMYCIN 9 MCG</t>
  </si>
  <si>
    <t>CLINAFLOXACIN</t>
  </si>
  <si>
    <t>CLOFAZAMINE 0.5 MCG</t>
  </si>
  <si>
    <t>CLOFAZAMINE 0.5 MCG/ML</t>
  </si>
  <si>
    <t>CRE CONFIRMATION</t>
  </si>
  <si>
    <t>CYCLOSERINE</t>
  </si>
  <si>
    <t>CYCLOSERINE 30 MCG/ML</t>
  </si>
  <si>
    <t>D-TEST</t>
  </si>
  <si>
    <t>DALBAVANCIN</t>
  </si>
  <si>
    <t>DICLOXACILLIN</t>
  </si>
  <si>
    <t>ESBL CONFIRMATION TESTING (LAB ONLY)</t>
  </si>
  <si>
    <t>ETHAMBUTOL / RIFAMPIN</t>
  </si>
  <si>
    <t>ETHAMBUTOL 2.5 MCG/ML</t>
  </si>
  <si>
    <t>ETHAMBUTOL 5 MCG/ML</t>
  </si>
  <si>
    <t>ETHAMBUTOL 7.5 MCG/ML</t>
  </si>
  <si>
    <t>ETHIONAMIDE</t>
  </si>
  <si>
    <t>ETHIONAMIDE 2.5 MCG/ML</t>
  </si>
  <si>
    <t>ETHIONAMIDE 5 MCG/ML</t>
  </si>
  <si>
    <t>FLUCONAZOLE-SDD</t>
  </si>
  <si>
    <t>GATIFLOXACIN</t>
  </si>
  <si>
    <t>GENTAMICIN 2000</t>
  </si>
  <si>
    <t>GENTAMICIN 500</t>
  </si>
  <si>
    <t>GENTAMICIN-SYN</t>
  </si>
  <si>
    <t>IMIPENEM/RELEBACTAM</t>
  </si>
  <si>
    <t>IMP CARBAPENEMASE</t>
  </si>
  <si>
    <t>ISONIAZID 0.1 MCG/ML</t>
  </si>
  <si>
    <t>ISONIAZID 0.2 MCG/ML</t>
  </si>
  <si>
    <t>ISONIAZID 0.4 MCG/ML</t>
  </si>
  <si>
    <t>ISOVUCONAZOLE</t>
  </si>
  <si>
    <t>KANAMYCIN 6 MCG/ML</t>
  </si>
  <si>
    <t>KPC CARBAPENEMASE</t>
  </si>
  <si>
    <t>LOMEFLOXACIN</t>
  </si>
  <si>
    <t>MEROPENEM/VABORBACTAM</t>
  </si>
  <si>
    <t>MEZLOCILLIN</t>
  </si>
  <si>
    <t>MOXALACTAM</t>
  </si>
  <si>
    <t>MUPIROCIN</t>
  </si>
  <si>
    <t>MUPIROCIN 200</t>
  </si>
  <si>
    <t>NAFCILLIN</t>
  </si>
  <si>
    <t>NDM CARBAPENEMASE</t>
  </si>
  <si>
    <t>NEOMYCIN</t>
  </si>
  <si>
    <t>NETILMICIN</t>
  </si>
  <si>
    <t>OFLOXACIN 1.25 MCG.ML</t>
  </si>
  <si>
    <t>OXA-48 CARBAPENEMASE</t>
  </si>
  <si>
    <t>OXACILLIN RESISTANCE (PBP2A)</t>
  </si>
  <si>
    <t>OXACILLIN/CEFOXITIN</t>
  </si>
  <si>
    <t>P-AMINOSALICYLIC ACID</t>
  </si>
  <si>
    <t>PAS 2 MCG/ML</t>
  </si>
  <si>
    <t>PENICILLIN IV, MENINGITIS</t>
  </si>
  <si>
    <t>PENICILLIN IV, NONMENINGITIS</t>
  </si>
  <si>
    <t>PIPERACILLIN/TAZOBACTAM</t>
  </si>
  <si>
    <t>QUINUPRISTIN/DALFOPRISTIN</t>
  </si>
  <si>
    <t>RIFAMPIN - SLOW GROWING MYCOBACTERIA</t>
  </si>
  <si>
    <t>RIFAMPIN / ETHAMBUTOL</t>
  </si>
  <si>
    <t>RIFAMPIN 1 MCG/ML</t>
  </si>
  <si>
    <t>RIFAMPIN 2 MCG/ML</t>
  </si>
  <si>
    <t>SPARFLOXACIN</t>
  </si>
  <si>
    <t>STREPTOMYCIN 1 MCG/ML</t>
  </si>
  <si>
    <t>STREPTOMYCIN 1000</t>
  </si>
  <si>
    <t>STREPTOMYCIN 2 MCG/ML</t>
  </si>
  <si>
    <t>STREPTOMYCIN 2000</t>
  </si>
  <si>
    <t>STREPTOMYCIN 4 MCG/ML</t>
  </si>
  <si>
    <t>STREPTOMYCIN 6 MCG/ML</t>
  </si>
  <si>
    <t>STREPTOMYCIN-SYN</t>
  </si>
  <si>
    <t>SULBACTAM/DURLOBACTAM</t>
  </si>
  <si>
    <t>SULFADIAZINE</t>
  </si>
  <si>
    <t>SULFISOXAZOLE</t>
  </si>
  <si>
    <t>TEICOPLANIN</t>
  </si>
  <si>
    <t>THIACETAZONE</t>
  </si>
  <si>
    <t>TICAR/CLAV ACID</t>
  </si>
  <si>
    <t>TICARCILLIN</t>
  </si>
  <si>
    <t>TRIMETHOPRIM/SULFA</t>
  </si>
  <si>
    <t>TRIMETHOPRIM/SULFADIAZINE</t>
  </si>
  <si>
    <t>TROVAFLOXACIN</t>
  </si>
  <si>
    <t>VIM CARBAPENEMASE</t>
  </si>
  <si>
    <t>dalbavancin</t>
  </si>
  <si>
    <t>azlocillin</t>
  </si>
  <si>
    <t>AZL</t>
  </si>
  <si>
    <t>bacitracin</t>
  </si>
  <si>
    <t>BAC</t>
  </si>
  <si>
    <t>carbenicillin</t>
  </si>
  <si>
    <t>CRB</t>
  </si>
  <si>
    <t>cefonicid</t>
  </si>
  <si>
    <t>CID</t>
  </si>
  <si>
    <t>ceforanide</t>
  </si>
  <si>
    <t>CND</t>
  </si>
  <si>
    <t>cefotiam</t>
  </si>
  <si>
    <t>CTF</t>
  </si>
  <si>
    <t>cephalexin</t>
  </si>
  <si>
    <t>LEX</t>
  </si>
  <si>
    <t>cephradine</t>
  </si>
  <si>
    <t>CED</t>
  </si>
  <si>
    <t>clinafloxacin</t>
  </si>
  <si>
    <t>CLX</t>
  </si>
  <si>
    <t>DAL</t>
  </si>
  <si>
    <t>dicloxacillin</t>
  </si>
  <si>
    <t>DIC</t>
  </si>
  <si>
    <t>lomefloxacin</t>
  </si>
  <si>
    <t>LOM</t>
  </si>
  <si>
    <t>mezlocillin</t>
  </si>
  <si>
    <t>MEZ</t>
  </si>
  <si>
    <t>moxalactam</t>
  </si>
  <si>
    <t>MOX</t>
  </si>
  <si>
    <t>mupirocin</t>
  </si>
  <si>
    <t>MUP</t>
  </si>
  <si>
    <t>nafcillin</t>
  </si>
  <si>
    <t>NAF</t>
  </si>
  <si>
    <t>neomycin</t>
  </si>
  <si>
    <t>NEO</t>
  </si>
  <si>
    <t>netilmicin</t>
  </si>
  <si>
    <t>NET</t>
  </si>
  <si>
    <t>p_aminosalicylic_acid</t>
  </si>
  <si>
    <t>PAS</t>
  </si>
  <si>
    <t>sparfloxacin</t>
  </si>
  <si>
    <t>SPX</t>
  </si>
  <si>
    <t>sulfadiazene</t>
  </si>
  <si>
    <t>SDI</t>
  </si>
  <si>
    <t>sulfisoxazole</t>
  </si>
  <si>
    <t>SOX</t>
  </si>
  <si>
    <t>teicoplanin</t>
  </si>
  <si>
    <t>TEC</t>
  </si>
  <si>
    <t>thiacetazone</t>
  </si>
  <si>
    <t>THA</t>
  </si>
  <si>
    <t>trovafloxacin</t>
  </si>
  <si>
    <t>TVA</t>
  </si>
  <si>
    <t>CEFOPERAZONE</t>
  </si>
  <si>
    <t>CFP</t>
  </si>
  <si>
    <t>cefoperazone</t>
  </si>
  <si>
    <t>AMINOSALICYLIC ACID</t>
  </si>
  <si>
    <t>AMPHOTERICIN B CHOLESTERYL SULFATE COMPLEX</t>
  </si>
  <si>
    <t>AMPHOTERICIN B LIPID COMPLEX</t>
  </si>
  <si>
    <t>AMPHOTERICIN B LIPOSOMAL</t>
  </si>
  <si>
    <t>BACAMPICILLIN</t>
  </si>
  <si>
    <t>CARBENICILLIN INDANYL SODIUM</t>
  </si>
  <si>
    <t>CEFADROXIL</t>
  </si>
  <si>
    <t>CEFDINIR</t>
  </si>
  <si>
    <t>CEFDITOREN</t>
  </si>
  <si>
    <t>CEFMETAZOLE</t>
  </si>
  <si>
    <t>CEFOTAXIME (MENINGITIS)</t>
  </si>
  <si>
    <t>CEFOTAXIME (NON-MENINGITIS)</t>
  </si>
  <si>
    <t>CEFPODOXIME PROXETIL</t>
  </si>
  <si>
    <t>CEFPROZIL</t>
  </si>
  <si>
    <t>CEFTAZIDIME + AVIBACTAM</t>
  </si>
  <si>
    <t>CEFTIBUTEN</t>
  </si>
  <si>
    <t>CEFTRIAXONE (CSF)</t>
  </si>
  <si>
    <t>CEFTRIAXONE (NON-CSF)</t>
  </si>
  <si>
    <t>CEFUROXIME AXETIL</t>
  </si>
  <si>
    <t>CEFUROXIME-SODIUM</t>
  </si>
  <si>
    <t>CEPHAPIRIN</t>
  </si>
  <si>
    <t>CINOXACIN</t>
  </si>
  <si>
    <t>CLOXACILLIN</t>
  </si>
  <si>
    <t>COLISTIN/IMIPENEM</t>
  </si>
  <si>
    <t>COLISTIN/MEROPENEM</t>
  </si>
  <si>
    <t>CRE SCREEN</t>
  </si>
  <si>
    <t>DEMECLOCYCLINE</t>
  </si>
  <si>
    <t>DIRITHROMYCIN</t>
  </si>
  <si>
    <t>ENOXACIN</t>
  </si>
  <si>
    <t>GEMIFLOXACIN</t>
  </si>
  <si>
    <t>GENTAMICIN HIGH POTENCY</t>
  </si>
  <si>
    <t>GREPAFLOXACIN</t>
  </si>
  <si>
    <t>IMIPENEM + RELEBACTAM</t>
  </si>
  <si>
    <t>IMIPENEM/CILASTATIN</t>
  </si>
  <si>
    <t>LEFAMULIN</t>
  </si>
  <si>
    <t>LINCOMYCIN</t>
  </si>
  <si>
    <t>LORACARBEF</t>
  </si>
  <si>
    <t>MEROPENEM + VARBORBACTAM</t>
  </si>
  <si>
    <t>NITAZOXANIDE</t>
  </si>
  <si>
    <t>NITROFURAZONE</t>
  </si>
  <si>
    <t>NORFLOXACIN</t>
  </si>
  <si>
    <t>NOVOBIOCIN</t>
  </si>
  <si>
    <t>ORITAVANCIN</t>
  </si>
  <si>
    <t>PAROMOMYCIN</t>
  </si>
  <si>
    <t>PENICILLIN (NON-MENINGITIS)</t>
  </si>
  <si>
    <t>PENICILLIN V</t>
  </si>
  <si>
    <t>PENICILLIN, ORAL</t>
  </si>
  <si>
    <t>PENICILLIN, PNEUMONIA</t>
  </si>
  <si>
    <t>PIPERACILLIN + TAZOBACTAM</t>
  </si>
  <si>
    <t>QUINUPRISTIN + DALFOPRISTIN</t>
  </si>
  <si>
    <t>RETAPAMULIN</t>
  </si>
  <si>
    <t>RIFAPENTINE</t>
  </si>
  <si>
    <t>RIFAXIMIN</t>
  </si>
  <si>
    <t>SPIRAMYCIN</t>
  </si>
  <si>
    <t>TEDIZOLID</t>
  </si>
  <si>
    <t>TELITHROMYCIN</t>
  </si>
  <si>
    <t>TICAR/CLAVULANIC ACID</t>
  </si>
  <si>
    <t>TICARCILLIN + CLAVULANIC ACID</t>
  </si>
  <si>
    <t>bacampicillin</t>
  </si>
  <si>
    <t>BAM</t>
  </si>
  <si>
    <t>cefadroxil</t>
  </si>
  <si>
    <t>CFR</t>
  </si>
  <si>
    <t>cefdinir</t>
  </si>
  <si>
    <t>CDR</t>
  </si>
  <si>
    <t>cefditoren</t>
  </si>
  <si>
    <t>DIT</t>
  </si>
  <si>
    <t>cefmetazole</t>
  </si>
  <si>
    <t>CMZ</t>
  </si>
  <si>
    <t>cefprozil</t>
  </si>
  <si>
    <t>CPR</t>
  </si>
  <si>
    <t>ceftibuten</t>
  </si>
  <si>
    <t>CTB</t>
  </si>
  <si>
    <t>cephapirin</t>
  </si>
  <si>
    <t>HAP</t>
  </si>
  <si>
    <t>cinoxacin</t>
  </si>
  <si>
    <t>CIN</t>
  </si>
  <si>
    <t>cloxacillin</t>
  </si>
  <si>
    <t>demeclocycline</t>
  </si>
  <si>
    <t>DEM</t>
  </si>
  <si>
    <t>dirithromycin</t>
  </si>
  <si>
    <t>DIR</t>
  </si>
  <si>
    <t>enoxacin</t>
  </si>
  <si>
    <t>ENX</t>
  </si>
  <si>
    <t>gemifloxacin</t>
  </si>
  <si>
    <t>GEM</t>
  </si>
  <si>
    <t>grepafloxacin</t>
  </si>
  <si>
    <t>GRX</t>
  </si>
  <si>
    <t>lefamulin</t>
  </si>
  <si>
    <t>LMU</t>
  </si>
  <si>
    <t>lincomycin</t>
  </si>
  <si>
    <t>LIN</t>
  </si>
  <si>
    <t>loracarbef</t>
  </si>
  <si>
    <t>LOR</t>
  </si>
  <si>
    <t>nitazoxanide</t>
  </si>
  <si>
    <t>NTZ</t>
  </si>
  <si>
    <t>nitrofurazone</t>
  </si>
  <si>
    <t>NIZ</t>
  </si>
  <si>
    <t>novobiocin</t>
  </si>
  <si>
    <t>NOV</t>
  </si>
  <si>
    <t>oritavancin</t>
  </si>
  <si>
    <t>ORI</t>
  </si>
  <si>
    <t>paromomycin</t>
  </si>
  <si>
    <t>PAR</t>
  </si>
  <si>
    <t>retampulin</t>
  </si>
  <si>
    <t>RET</t>
  </si>
  <si>
    <t>RPT</t>
  </si>
  <si>
    <t>rifapentine</t>
  </si>
  <si>
    <t>rifaximin</t>
  </si>
  <si>
    <t>RFX</t>
  </si>
  <si>
    <t>spiramycin</t>
  </si>
  <si>
    <t>SPI</t>
  </si>
  <si>
    <t>tedizolid</t>
  </si>
  <si>
    <t>TZD</t>
  </si>
  <si>
    <t>telithromycin</t>
  </si>
  <si>
    <t>TLT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</si>
</sst>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honet.org/WebDocs/WHONET_Antimicrobial_Cod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CB02-9E13-B544-9E48-3388A6CCA27D}">
  <dimension ref="A1:C366"/>
  <sheetViews>
    <sheetView tabSelected="1" workbookViewId="0">
      <pane ySplit="1" topLeftCell="A2" activePane="bottomLeft" state="frozen"/>
      <selection pane="bottomLeft" activeCell="D376" sqref="D376"/>
    </sheetView>
  </sheetViews>
  <sheetFormatPr baseColWidth="10" defaultRowHeight="16" x14ac:dyDescent="0.2"/>
  <cols>
    <col min="1" max="1" width="39.83203125" customWidth="1"/>
    <col min="2" max="2" width="29" customWidth="1"/>
    <col min="3" max="3" width="15.83203125" customWidth="1"/>
  </cols>
  <sheetData>
    <row r="1" spans="1:3" s="1" customFormat="1" x14ac:dyDescent="0.2">
      <c r="A1" s="1" t="s">
        <v>13</v>
      </c>
      <c r="B1" s="1" t="s">
        <v>237</v>
      </c>
      <c r="C1" s="1" t="s">
        <v>235</v>
      </c>
    </row>
    <row r="2" spans="1:3" x14ac:dyDescent="0.2">
      <c r="A2" t="s">
        <v>256</v>
      </c>
      <c r="B2" t="s">
        <v>51</v>
      </c>
      <c r="C2" t="str">
        <f>_xlfn.XLOOKUP(B2,antibiotic_code_map!$A$2:$A$10055,antibiotic_code_map!$B$2:$B$10055)</f>
        <v>CEF</v>
      </c>
    </row>
    <row r="3" spans="1:3" x14ac:dyDescent="0.2">
      <c r="A3" t="s">
        <v>257</v>
      </c>
      <c r="B3" t="s">
        <v>199</v>
      </c>
      <c r="C3" t="str">
        <f>_xlfn.XLOOKUP(B3,antibiotic_code_map!$A$2:$A$10055,antibiotic_code_map!$B$2:$B$10055)</f>
        <v>SXT</v>
      </c>
    </row>
    <row r="4" spans="1:3" x14ac:dyDescent="0.2">
      <c r="A4" t="s">
        <v>258</v>
      </c>
      <c r="B4" t="s">
        <v>23</v>
      </c>
      <c r="C4" t="str">
        <f>_xlfn.XLOOKUP(B4,antibiotic_code_map!$A$2:$A$10055,antibiotic_code_map!$B$2:$B$10055)</f>
        <v>AMK</v>
      </c>
    </row>
    <row r="5" spans="1:3" x14ac:dyDescent="0.2">
      <c r="A5" t="s">
        <v>259</v>
      </c>
      <c r="B5" t="s">
        <v>21</v>
      </c>
      <c r="C5" t="str">
        <f>_xlfn.XLOOKUP(B5,antibiotic_code_map!$A$2:$A$10055,antibiotic_code_map!$B$2:$B$10055)</f>
        <v>AMC</v>
      </c>
    </row>
    <row r="6" spans="1:3" x14ac:dyDescent="0.2">
      <c r="A6" t="s">
        <v>260</v>
      </c>
      <c r="B6" t="s">
        <v>25</v>
      </c>
      <c r="C6" t="str">
        <f>_xlfn.XLOOKUP(B6,antibiotic_code_map!$A$2:$A$10055,antibiotic_code_map!$B$2:$B$10055)</f>
        <v>AMP</v>
      </c>
    </row>
    <row r="7" spans="1:3" x14ac:dyDescent="0.2">
      <c r="A7" t="s">
        <v>261</v>
      </c>
      <c r="B7" t="s">
        <v>189</v>
      </c>
      <c r="C7" t="str">
        <f>_xlfn.XLOOKUP(B7,antibiotic_code_map!$A$2:$A$10055,antibiotic_code_map!$B$2:$B$10055)</f>
        <v>SAM</v>
      </c>
    </row>
    <row r="8" spans="1:3" x14ac:dyDescent="0.2">
      <c r="A8" t="s">
        <v>262</v>
      </c>
      <c r="B8" t="s">
        <v>29</v>
      </c>
      <c r="C8" t="str">
        <f>_xlfn.XLOOKUP(B8,antibiotic_code_map!$A$2:$A$10055,antibiotic_code_map!$B$2:$B$10055)</f>
        <v>ATM</v>
      </c>
    </row>
    <row r="9" spans="1:3" x14ac:dyDescent="0.2">
      <c r="A9" t="s">
        <v>263</v>
      </c>
      <c r="B9" t="s">
        <v>55</v>
      </c>
      <c r="C9" t="str">
        <f>_xlfn.XLOOKUP(B9,antibiotic_code_map!$A$2:$A$10055,antibiotic_code_map!$B$2:$B$10055)</f>
        <v>CFZ</v>
      </c>
    </row>
    <row r="10" spans="1:3" x14ac:dyDescent="0.2">
      <c r="A10" t="s">
        <v>264</v>
      </c>
      <c r="B10" t="s">
        <v>110</v>
      </c>
      <c r="C10" t="str">
        <f>_xlfn.XLOOKUP(B10,antibiotic_code_map!$A$2:$A$10055,antibiotic_code_map!$B$2:$B$10055)</f>
        <v>FEP</v>
      </c>
    </row>
    <row r="11" spans="1:3" x14ac:dyDescent="0.2">
      <c r="A11" t="s">
        <v>265</v>
      </c>
      <c r="B11" t="s">
        <v>76</v>
      </c>
      <c r="C11" t="str">
        <f>_xlfn.XLOOKUP(B11,antibiotic_code_map!$A$2:$A$10055,antibiotic_code_map!$B$2:$B$10055)</f>
        <v>CTX</v>
      </c>
    </row>
    <row r="12" spans="1:3" x14ac:dyDescent="0.2">
      <c r="A12" t="s">
        <v>266</v>
      </c>
      <c r="B12" t="s">
        <v>115</v>
      </c>
      <c r="C12" t="str">
        <f>_xlfn.XLOOKUP(B12,antibiotic_code_map!$A$2:$A$10055,antibiotic_code_map!$B$2:$B$10055)</f>
        <v>FOX</v>
      </c>
    </row>
    <row r="13" spans="1:3" x14ac:dyDescent="0.2">
      <c r="A13" t="s">
        <v>267</v>
      </c>
      <c r="B13" t="s">
        <v>43</v>
      </c>
      <c r="C13" t="str">
        <f>_xlfn.XLOOKUP(B13,antibiotic_code_map!$A$2:$A$10055,antibiotic_code_map!$B$2:$B$10055)</f>
        <v>CAZ</v>
      </c>
    </row>
    <row r="14" spans="1:3" x14ac:dyDescent="0.2">
      <c r="A14" t="s">
        <v>268</v>
      </c>
      <c r="B14" t="s">
        <v>80</v>
      </c>
      <c r="C14" t="str">
        <f>_xlfn.XLOOKUP(B14,antibiotic_code_map!$A$2:$A$10055,antibiotic_code_map!$B$2:$B$10055)</f>
        <v>CXM</v>
      </c>
    </row>
    <row r="15" spans="1:3" x14ac:dyDescent="0.2">
      <c r="A15" t="s">
        <v>269</v>
      </c>
      <c r="B15" t="s">
        <v>71</v>
      </c>
      <c r="C15" t="str">
        <f>_xlfn.XLOOKUP(B15,antibiotic_code_map!$A$2:$A$10055,antibiotic_code_map!$B$2:$B$10055)</f>
        <v>CRO</v>
      </c>
    </row>
    <row r="16" spans="1:3" x14ac:dyDescent="0.2">
      <c r="A16" t="s">
        <v>270</v>
      </c>
      <c r="B16" t="s">
        <v>212</v>
      </c>
      <c r="C16" t="str">
        <f>_xlfn.XLOOKUP(B16,antibiotic_code_map!$A$2:$A$10055,antibiotic_code_map!$B$2:$B$10055)</f>
        <v>TOB</v>
      </c>
    </row>
    <row r="17" spans="1:3" x14ac:dyDescent="0.2">
      <c r="A17" t="s">
        <v>271</v>
      </c>
      <c r="B17" t="s">
        <v>1</v>
      </c>
      <c r="C17" t="str">
        <f>_xlfn.XLOOKUP(B17,antibiotic_code_map!$A$2:$A$10055,antibiotic_code_map!$B$2:$B$10055)</f>
        <v>CIP</v>
      </c>
    </row>
    <row r="18" spans="1:3" x14ac:dyDescent="0.2">
      <c r="A18" t="s">
        <v>272</v>
      </c>
      <c r="B18" t="s">
        <v>103</v>
      </c>
      <c r="C18" t="str">
        <f>_xlfn.XLOOKUP(B18,antibiotic_code_map!$A$2:$A$10055,antibiotic_code_map!$B$2:$B$10055)</f>
        <v>ETP</v>
      </c>
    </row>
    <row r="19" spans="1:3" x14ac:dyDescent="0.2">
      <c r="A19" t="s">
        <v>273</v>
      </c>
      <c r="B19" t="s">
        <v>5</v>
      </c>
      <c r="C19" t="str">
        <f>_xlfn.XLOOKUP(B19,antibiotic_code_map!$A$2:$A$10055,antibiotic_code_map!$B$2:$B$10055)</f>
        <v>GEN</v>
      </c>
    </row>
    <row r="20" spans="1:3" x14ac:dyDescent="0.2">
      <c r="A20" t="s">
        <v>274</v>
      </c>
      <c r="B20" t="s">
        <v>7</v>
      </c>
      <c r="C20" t="str">
        <f>_xlfn.XLOOKUP(B20,antibiotic_code_map!$A$2:$A$10055,antibiotic_code_map!$B$2:$B$10055)</f>
        <v>IPM</v>
      </c>
    </row>
    <row r="21" spans="1:3" x14ac:dyDescent="0.2">
      <c r="A21" t="s">
        <v>275</v>
      </c>
      <c r="B21" t="s">
        <v>2</v>
      </c>
      <c r="C21" t="str">
        <f>_xlfn.XLOOKUP(B21,antibiotic_code_map!$A$2:$A$10055,antibiotic_code_map!$B$2:$B$10055)</f>
        <v>LVX</v>
      </c>
    </row>
    <row r="22" spans="1:3" x14ac:dyDescent="0.2">
      <c r="A22" t="s">
        <v>276</v>
      </c>
      <c r="B22" t="s">
        <v>143</v>
      </c>
      <c r="C22" t="str">
        <f>_xlfn.XLOOKUP(B22,antibiotic_code_map!$A$2:$A$10055,antibiotic_code_map!$B$2:$B$10055)</f>
        <v>MEM</v>
      </c>
    </row>
    <row r="23" spans="1:3" x14ac:dyDescent="0.2">
      <c r="A23" t="s">
        <v>277</v>
      </c>
      <c r="B23" t="s">
        <v>160</v>
      </c>
      <c r="C23" t="str">
        <f>_xlfn.XLOOKUP(B23,antibiotic_code_map!$A$2:$A$10055,antibiotic_code_map!$B$2:$B$10055)</f>
        <v>NIT</v>
      </c>
    </row>
    <row r="24" spans="1:3" x14ac:dyDescent="0.2">
      <c r="A24" t="s">
        <v>278</v>
      </c>
      <c r="B24" t="s">
        <v>8</v>
      </c>
      <c r="C24" t="str">
        <f>_xlfn.XLOOKUP(B24,antibiotic_code_map!$A$2:$A$10055,antibiotic_code_map!$B$2:$B$10055)</f>
        <v>PIP</v>
      </c>
    </row>
    <row r="25" spans="1:3" x14ac:dyDescent="0.2">
      <c r="A25" t="s">
        <v>279</v>
      </c>
      <c r="B25" t="s">
        <v>220</v>
      </c>
      <c r="C25" t="str">
        <f>_xlfn.XLOOKUP(B25,antibiotic_code_map!$A$2:$A$10055,antibiotic_code_map!$B$2:$B$10055)</f>
        <v>TZP</v>
      </c>
    </row>
    <row r="26" spans="1:3" x14ac:dyDescent="0.2">
      <c r="A26" t="s">
        <v>280</v>
      </c>
      <c r="B26" t="s">
        <v>201</v>
      </c>
      <c r="C26" t="str">
        <f>_xlfn.XLOOKUP(B26,antibiotic_code_map!$A$2:$A$10055,antibiotic_code_map!$B$2:$B$10055)</f>
        <v>TET</v>
      </c>
    </row>
    <row r="27" spans="1:3" x14ac:dyDescent="0.2">
      <c r="A27" t="s">
        <v>281</v>
      </c>
      <c r="B27" t="s">
        <v>21</v>
      </c>
      <c r="C27" t="str">
        <f>_xlfn.XLOOKUP(B27,antibiotic_code_map!$A$2:$A$10055,antibiotic_code_map!$B$2:$B$10055)</f>
        <v>AMC</v>
      </c>
    </row>
    <row r="28" spans="1:3" x14ac:dyDescent="0.2">
      <c r="A28" t="s">
        <v>282</v>
      </c>
      <c r="B28" t="s">
        <v>189</v>
      </c>
      <c r="C28" t="str">
        <f>_xlfn.XLOOKUP(B28,antibiotic_code_map!$A$2:$A$10055,antibiotic_code_map!$B$2:$B$10055)</f>
        <v>SAM</v>
      </c>
    </row>
    <row r="29" spans="1:3" x14ac:dyDescent="0.2">
      <c r="A29" t="s">
        <v>283</v>
      </c>
      <c r="B29" t="s">
        <v>6</v>
      </c>
      <c r="C29" t="str">
        <f>_xlfn.XLOOKUP(B29,antibiotic_code_map!$A$2:$A$10055,antibiotic_code_map!$B$2:$B$10055)</f>
        <v>TGC</v>
      </c>
    </row>
    <row r="30" spans="1:3" x14ac:dyDescent="0.2">
      <c r="A30" t="s">
        <v>284</v>
      </c>
      <c r="B30" t="s">
        <v>151</v>
      </c>
      <c r="C30" t="str">
        <f>_xlfn.XLOOKUP(B30,antibiotic_code_map!$A$2:$A$10055,antibiotic_code_map!$B$2:$B$10055)</f>
        <v>MIN</v>
      </c>
    </row>
    <row r="31" spans="1:3" x14ac:dyDescent="0.2">
      <c r="A31" t="s">
        <v>285</v>
      </c>
      <c r="B31" t="s">
        <v>3</v>
      </c>
      <c r="C31" t="str">
        <f>_xlfn.XLOOKUP(B31,antibiotic_code_map!$A$2:$A$10055,antibiotic_code_map!$B$2:$B$10055)</f>
        <v>VAN</v>
      </c>
    </row>
    <row r="32" spans="1:3" x14ac:dyDescent="0.2">
      <c r="A32" t="s">
        <v>286</v>
      </c>
      <c r="B32" t="s">
        <v>187</v>
      </c>
      <c r="C32" t="str">
        <f>_xlfn.XLOOKUP(B32,antibiotic_code_map!$A$2:$A$10055,antibiotic_code_map!$B$2:$B$10055)</f>
        <v>RIF</v>
      </c>
    </row>
    <row r="33" spans="1:3" x14ac:dyDescent="0.2">
      <c r="A33" t="s">
        <v>287</v>
      </c>
      <c r="B33" t="s">
        <v>172</v>
      </c>
      <c r="C33" t="str">
        <f>_xlfn.XLOOKUP(B33,antibiotic_code_map!$A$2:$A$10055,antibiotic_code_map!$B$2:$B$10055)</f>
        <v>PEN</v>
      </c>
    </row>
    <row r="34" spans="1:3" x14ac:dyDescent="0.2">
      <c r="A34" t="s">
        <v>288</v>
      </c>
      <c r="B34" t="s">
        <v>170</v>
      </c>
      <c r="C34" t="str">
        <f>_xlfn.XLOOKUP(B34,antibiotic_code_map!$A$2:$A$10055,antibiotic_code_map!$B$2:$B$10055)</f>
        <v>OXA</v>
      </c>
    </row>
    <row r="35" spans="1:3" x14ac:dyDescent="0.2">
      <c r="A35" t="s">
        <v>289</v>
      </c>
      <c r="B35" t="s">
        <v>4</v>
      </c>
      <c r="C35" t="str">
        <f>_xlfn.XLOOKUP(B35,antibiotic_code_map!$A$2:$A$10055,antibiotic_code_map!$B$2:$B$10055)</f>
        <v>CLI</v>
      </c>
    </row>
    <row r="36" spans="1:3" x14ac:dyDescent="0.2">
      <c r="A36" t="s">
        <v>290</v>
      </c>
      <c r="B36" t="s">
        <v>155</v>
      </c>
      <c r="C36" t="str">
        <f>_xlfn.XLOOKUP(B36,antibiotic_code_map!$A$2:$A$10055,antibiotic_code_map!$B$2:$B$10055)</f>
        <v>MXF</v>
      </c>
    </row>
    <row r="37" spans="1:3" x14ac:dyDescent="0.2">
      <c r="A37" t="s">
        <v>291</v>
      </c>
      <c r="B37" t="s">
        <v>236</v>
      </c>
      <c r="C37" t="str">
        <f>_xlfn.XLOOKUP(B37,antibiotic_code_map!$A$2:$A$10055,antibiotic_code_map!$B$2:$B$10055)</f>
        <v>ICR</v>
      </c>
    </row>
    <row r="38" spans="1:3" x14ac:dyDescent="0.2">
      <c r="A38" t="s">
        <v>292</v>
      </c>
      <c r="B38" t="s">
        <v>137</v>
      </c>
      <c r="C38" t="str">
        <f>_xlfn.XLOOKUP(B38,antibiotic_code_map!$A$2:$A$10055,antibiotic_code_map!$B$2:$B$10055)</f>
        <v>LZD</v>
      </c>
    </row>
    <row r="39" spans="1:3" x14ac:dyDescent="0.2">
      <c r="A39" t="s">
        <v>293</v>
      </c>
      <c r="B39" t="s">
        <v>98</v>
      </c>
      <c r="C39" t="str">
        <f>_xlfn.XLOOKUP(B39,antibiotic_code_map!$A$2:$A$10055,antibiotic_code_map!$B$2:$B$10055)</f>
        <v>ERY</v>
      </c>
    </row>
    <row r="40" spans="1:3" x14ac:dyDescent="0.2">
      <c r="A40" t="s">
        <v>294</v>
      </c>
      <c r="B40" t="s">
        <v>183</v>
      </c>
      <c r="C40" t="str">
        <f>_xlfn.XLOOKUP(B40,antibiotic_code_map!$A$2:$A$10055,antibiotic_code_map!$B$2:$B$10055)</f>
        <v>QUD</v>
      </c>
    </row>
    <row r="41" spans="1:3" x14ac:dyDescent="0.2">
      <c r="A41" t="s">
        <v>295</v>
      </c>
      <c r="B41" t="s">
        <v>12</v>
      </c>
      <c r="C41" t="str">
        <f>_xlfn.XLOOKUP(B41,antibiotic_code_map!$A$2:$A$10055,antibiotic_code_map!$B$2:$B$10055)</f>
        <v>VRC</v>
      </c>
    </row>
    <row r="42" spans="1:3" x14ac:dyDescent="0.2">
      <c r="A42" t="s">
        <v>296</v>
      </c>
      <c r="B42" t="s">
        <v>112</v>
      </c>
      <c r="C42" t="str">
        <f>_xlfn.XLOOKUP(B42,antibiotic_code_map!$A$2:$A$10055,antibiotic_code_map!$B$2:$B$10055)</f>
        <v>FLC</v>
      </c>
    </row>
    <row r="43" spans="1:3" x14ac:dyDescent="0.2">
      <c r="A43" t="s">
        <v>297</v>
      </c>
      <c r="B43" t="s">
        <v>82</v>
      </c>
      <c r="C43" t="str">
        <f>_xlfn.XLOOKUP(B43,antibiotic_code_map!$A$2:$A$10055,antibiotic_code_map!$B$2:$B$10055)</f>
        <v>DAP</v>
      </c>
    </row>
    <row r="44" spans="1:3" x14ac:dyDescent="0.2">
      <c r="A44" t="s">
        <v>298</v>
      </c>
      <c r="B44" t="s">
        <v>236</v>
      </c>
      <c r="C44" t="str">
        <f>_xlfn.XLOOKUP(B44,antibiotic_code_map!$A$2:$A$10055,antibiotic_code_map!$B$2:$B$10055)</f>
        <v>ICR</v>
      </c>
    </row>
    <row r="45" spans="1:3" x14ac:dyDescent="0.2">
      <c r="A45" t="s">
        <v>299</v>
      </c>
      <c r="B45" t="s">
        <v>224</v>
      </c>
      <c r="C45" t="str">
        <f>_xlfn.XLOOKUP(B45,antibiotic_code_map!$A$2:$A$10055,antibiotic_code_map!$B$2:$B$10055)</f>
        <v>BLAC</v>
      </c>
    </row>
    <row r="46" spans="1:3" x14ac:dyDescent="0.2">
      <c r="A46" t="s">
        <v>300</v>
      </c>
      <c r="B46" t="s">
        <v>193</v>
      </c>
      <c r="C46" t="str">
        <f>_xlfn.XLOOKUP(B46,antibiotic_code_map!$A$2:$A$10055,antibiotic_code_map!$B$2:$B$10055)</f>
        <v>STR</v>
      </c>
    </row>
    <row r="47" spans="1:3" x14ac:dyDescent="0.2">
      <c r="A47" t="s">
        <v>301</v>
      </c>
      <c r="B47" t="s">
        <v>5</v>
      </c>
      <c r="C47" t="str">
        <f>_xlfn.XLOOKUP(B47,antibiotic_code_map!$A$2:$A$10055,antibiotic_code_map!$B$2:$B$10055)</f>
        <v>GEN</v>
      </c>
    </row>
    <row r="48" spans="1:3" x14ac:dyDescent="0.2">
      <c r="A48" t="s">
        <v>302</v>
      </c>
      <c r="B48" t="s">
        <v>90</v>
      </c>
      <c r="C48" t="str">
        <f>_xlfn.XLOOKUP(B48,antibiotic_code_map!$A$2:$A$10055,antibiotic_code_map!$B$2:$B$10055)</f>
        <v>DOX</v>
      </c>
    </row>
    <row r="49" spans="1:3" x14ac:dyDescent="0.2">
      <c r="A49" t="s">
        <v>303</v>
      </c>
      <c r="B49" t="s">
        <v>57</v>
      </c>
      <c r="C49" t="str">
        <f>_xlfn.XLOOKUP(B49,antibiotic_code_map!$A$2:$A$10055,antibiotic_code_map!$B$2:$B$10055)</f>
        <v>CHL</v>
      </c>
    </row>
    <row r="50" spans="1:3" x14ac:dyDescent="0.2">
      <c r="A50" t="s">
        <v>304</v>
      </c>
      <c r="B50" t="s">
        <v>170</v>
      </c>
      <c r="C50" t="str">
        <f>_xlfn.XLOOKUP(B50,antibiotic_code_map!$A$2:$A$10055,antibiotic_code_map!$B$2:$B$10055)</f>
        <v>OXA</v>
      </c>
    </row>
    <row r="51" spans="1:3" x14ac:dyDescent="0.2">
      <c r="A51" t="s">
        <v>305</v>
      </c>
      <c r="B51" t="s">
        <v>0</v>
      </c>
      <c r="C51" t="str">
        <f>_xlfn.XLOOKUP(B51,antibiotic_code_map!$A$2:$A$10055,antibiotic_code_map!$B$2:$B$10055)</f>
        <v>FOF</v>
      </c>
    </row>
    <row r="52" spans="1:3" x14ac:dyDescent="0.2">
      <c r="A52" t="s">
        <v>305</v>
      </c>
      <c r="B52" t="s">
        <v>0</v>
      </c>
      <c r="C52" t="str">
        <f>_xlfn.XLOOKUP(B52,antibiotic_code_map!$A$2:$A$10055,antibiotic_code_map!$B$2:$B$10055)</f>
        <v>FOF</v>
      </c>
    </row>
    <row r="53" spans="1:3" x14ac:dyDescent="0.2">
      <c r="A53" t="s">
        <v>306</v>
      </c>
      <c r="B53" t="s">
        <v>170</v>
      </c>
      <c r="C53" t="str">
        <f>_xlfn.XLOOKUP(B53,antibiotic_code_map!$A$2:$A$10055,antibiotic_code_map!$B$2:$B$10055)</f>
        <v>OXA</v>
      </c>
    </row>
    <row r="54" spans="1:3" x14ac:dyDescent="0.2">
      <c r="A54" t="s">
        <v>307</v>
      </c>
      <c r="B54" t="s">
        <v>183</v>
      </c>
      <c r="C54" t="str">
        <f>_xlfn.XLOOKUP(B54,antibiotic_code_map!$A$2:$A$10055,antibiotic_code_map!$B$2:$B$10055)</f>
        <v>QUD</v>
      </c>
    </row>
    <row r="55" spans="1:3" x14ac:dyDescent="0.2">
      <c r="A55" t="s">
        <v>308</v>
      </c>
      <c r="B55" t="s">
        <v>189</v>
      </c>
      <c r="C55" t="str">
        <f>_xlfn.XLOOKUP(B55,antibiotic_code_map!$A$2:$A$10055,antibiotic_code_map!$B$2:$B$10055)</f>
        <v>SAM</v>
      </c>
    </row>
    <row r="56" spans="1:3" x14ac:dyDescent="0.2">
      <c r="A56" t="s">
        <v>309</v>
      </c>
      <c r="B56" t="s">
        <v>55</v>
      </c>
      <c r="C56" t="str">
        <f>_xlfn.XLOOKUP(B56,antibiotic_code_map!$A$2:$A$10055,antibiotic_code_map!$B$2:$B$10055)</f>
        <v>CFZ</v>
      </c>
    </row>
    <row r="57" spans="1:3" x14ac:dyDescent="0.2">
      <c r="A57" t="s">
        <v>310</v>
      </c>
      <c r="B57" t="s">
        <v>41</v>
      </c>
      <c r="C57" t="str">
        <f>_xlfn.XLOOKUP(B57,antibiotic_code_map!$A$2:$A$10055,antibiotic_code_map!$B$2:$B$10055)</f>
        <v>CAS</v>
      </c>
    </row>
    <row r="58" spans="1:3" x14ac:dyDescent="0.2">
      <c r="A58" t="s">
        <v>311</v>
      </c>
      <c r="B58" t="s">
        <v>179</v>
      </c>
      <c r="C58" t="str">
        <f>_xlfn.XLOOKUP(B58,antibiotic_code_map!$A$2:$A$10055,antibiotic_code_map!$B$2:$B$10055)</f>
        <v>POS</v>
      </c>
    </row>
    <row r="59" spans="1:3" x14ac:dyDescent="0.2">
      <c r="A59" t="s">
        <v>312</v>
      </c>
      <c r="B59" t="s">
        <v>149</v>
      </c>
      <c r="C59" t="str">
        <f>_xlfn.XLOOKUP(B59,antibiotic_code_map!$A$2:$A$10055,antibiotic_code_map!$B$2:$B$10055)</f>
        <v>MFG</v>
      </c>
    </row>
    <row r="60" spans="1:3" x14ac:dyDescent="0.2">
      <c r="A60" t="s">
        <v>313</v>
      </c>
      <c r="B60" t="s">
        <v>130</v>
      </c>
      <c r="C60" t="str">
        <f>_xlfn.XLOOKUP(B60,antibiotic_code_map!$A$2:$A$10055,antibiotic_code_map!$B$2:$B$10055)</f>
        <v>ITC</v>
      </c>
    </row>
    <row r="61" spans="1:3" x14ac:dyDescent="0.2">
      <c r="A61" t="s">
        <v>314</v>
      </c>
      <c r="B61" t="s">
        <v>15</v>
      </c>
      <c r="C61" t="str">
        <f>_xlfn.XLOOKUP(B61,antibiotic_code_map!$A$2:$A$10055,antibiotic_code_map!$B$2:$B$10055)</f>
        <v>5FC</v>
      </c>
    </row>
    <row r="62" spans="1:3" x14ac:dyDescent="0.2">
      <c r="A62" t="s">
        <v>315</v>
      </c>
      <c r="B62" t="s">
        <v>19</v>
      </c>
      <c r="C62" t="str">
        <f>_xlfn.XLOOKUP(B62,antibiotic_code_map!$A$2:$A$10055,antibiotic_code_map!$B$2:$B$10055)</f>
        <v>AMB</v>
      </c>
    </row>
    <row r="63" spans="1:3" x14ac:dyDescent="0.2">
      <c r="A63" t="s">
        <v>316</v>
      </c>
      <c r="B63" t="s">
        <v>17</v>
      </c>
      <c r="C63" t="str">
        <f>_xlfn.XLOOKUP(B63,antibiotic_code_map!$A$2:$A$10055,antibiotic_code_map!$B$2:$B$10055)</f>
        <v>AFG</v>
      </c>
    </row>
    <row r="64" spans="1:3" x14ac:dyDescent="0.2">
      <c r="A64" t="s">
        <v>138</v>
      </c>
      <c r="B64" t="s">
        <v>240</v>
      </c>
      <c r="C64" t="str">
        <f>_xlfn.XLOOKUP(B64,antibiotic_code_map!$A$2:$A$10055,antibiotic_code_map!$B$2:$B$10055)</f>
        <v>MCIM</v>
      </c>
    </row>
    <row r="65" spans="1:3" x14ac:dyDescent="0.2">
      <c r="A65" t="s">
        <v>317</v>
      </c>
      <c r="B65" t="s">
        <v>9</v>
      </c>
      <c r="C65" t="str">
        <f>_xlfn.XLOOKUP(B65,antibiotic_code_map!$A$2:$A$10055,antibiotic_code_map!$B$2:$B$10055)</f>
        <v>CST</v>
      </c>
    </row>
    <row r="66" spans="1:3" x14ac:dyDescent="0.2">
      <c r="A66" t="s">
        <v>301</v>
      </c>
      <c r="B66" t="s">
        <v>5</v>
      </c>
      <c r="C66" t="str">
        <f>_xlfn.XLOOKUP(B66,antibiotic_code_map!$A$2:$A$10055,antibiotic_code_map!$B$2:$B$10055)</f>
        <v>GEN</v>
      </c>
    </row>
    <row r="67" spans="1:3" x14ac:dyDescent="0.2">
      <c r="A67" t="s">
        <v>271</v>
      </c>
      <c r="B67" t="s">
        <v>1</v>
      </c>
      <c r="C67" t="str">
        <f>_xlfn.XLOOKUP(B67,antibiotic_code_map!$A$2:$A$10055,antibiotic_code_map!$B$2:$B$10055)</f>
        <v>CIP</v>
      </c>
    </row>
    <row r="68" spans="1:3" x14ac:dyDescent="0.2">
      <c r="A68" t="s">
        <v>275</v>
      </c>
      <c r="B68" t="s">
        <v>2</v>
      </c>
      <c r="C68" t="str">
        <f>_xlfn.XLOOKUP(B68,antibiotic_code_map!$A$2:$A$10055,antibiotic_code_map!$B$2:$B$10055)</f>
        <v>LVX</v>
      </c>
    </row>
    <row r="69" spans="1:3" x14ac:dyDescent="0.2">
      <c r="A69" t="s">
        <v>285</v>
      </c>
      <c r="B69" t="s">
        <v>3</v>
      </c>
      <c r="C69" t="str">
        <f>_xlfn.XLOOKUP(B69,antibiotic_code_map!$A$2:$A$10055,antibiotic_code_map!$B$2:$B$10055)</f>
        <v>VAN</v>
      </c>
    </row>
    <row r="70" spans="1:3" x14ac:dyDescent="0.2">
      <c r="A70" t="s">
        <v>318</v>
      </c>
      <c r="B70" t="s">
        <v>69</v>
      </c>
      <c r="C70" t="str">
        <f>_xlfn.XLOOKUP(B70,antibiotic_code_map!$A$2:$A$10055,antibiotic_code_map!$B$2:$B$10055)</f>
        <v>CPT</v>
      </c>
    </row>
    <row r="71" spans="1:3" x14ac:dyDescent="0.2">
      <c r="A71" t="s">
        <v>289</v>
      </c>
      <c r="B71" t="s">
        <v>4</v>
      </c>
      <c r="C71" t="str">
        <f>_xlfn.XLOOKUP(B71,antibiotic_code_map!$A$2:$A$10055,antibiotic_code_map!$B$2:$B$10055)</f>
        <v>CLI</v>
      </c>
    </row>
    <row r="72" spans="1:3" x14ac:dyDescent="0.2">
      <c r="A72" t="s">
        <v>273</v>
      </c>
      <c r="B72" t="s">
        <v>5</v>
      </c>
      <c r="C72" t="str">
        <f>_xlfn.XLOOKUP(B72,antibiotic_code_map!$A$2:$A$10055,antibiotic_code_map!$B$2:$B$10055)</f>
        <v>GEN</v>
      </c>
    </row>
    <row r="73" spans="1:3" x14ac:dyDescent="0.2">
      <c r="A73" t="s">
        <v>319</v>
      </c>
      <c r="B73" t="s">
        <v>199</v>
      </c>
      <c r="C73" t="str">
        <f>_xlfn.XLOOKUP(B73,antibiotic_code_map!$A$2:$A$10055,antibiotic_code_map!$B$2:$B$10055)</f>
        <v>SXT</v>
      </c>
    </row>
    <row r="74" spans="1:3" x14ac:dyDescent="0.2">
      <c r="A74" t="s">
        <v>283</v>
      </c>
      <c r="B74" t="s">
        <v>6</v>
      </c>
      <c r="C74" t="str">
        <f>_xlfn.XLOOKUP(B74,antibiotic_code_map!$A$2:$A$10055,antibiotic_code_map!$B$2:$B$10055)</f>
        <v>TGC</v>
      </c>
    </row>
    <row r="75" spans="1:3" x14ac:dyDescent="0.2">
      <c r="A75" t="s">
        <v>320</v>
      </c>
      <c r="B75" t="s">
        <v>96</v>
      </c>
      <c r="C75" t="str">
        <f>_xlfn.XLOOKUP(B75,antibiotic_code_map!$A$2:$A$10055,antibiotic_code_map!$B$2:$B$10055)</f>
        <v>ERV</v>
      </c>
    </row>
    <row r="76" spans="1:3" x14ac:dyDescent="0.2">
      <c r="A76" t="s">
        <v>321</v>
      </c>
      <c r="B76" t="s">
        <v>147</v>
      </c>
      <c r="C76" t="str">
        <f>_xlfn.XLOOKUP(B76,antibiotic_code_map!$A$2:$A$10055,antibiotic_code_map!$B$2:$B$10055)</f>
        <v>MEM_VAB</v>
      </c>
    </row>
    <row r="77" spans="1:3" x14ac:dyDescent="0.2">
      <c r="A77" t="s">
        <v>322</v>
      </c>
      <c r="B77" t="s">
        <v>45</v>
      </c>
      <c r="C77" t="str">
        <f>_xlfn.XLOOKUP(B77,antibiotic_code_map!$A$2:$A$10055,antibiotic_code_map!$B$2:$B$10055)</f>
        <v>CAZ_AVI</v>
      </c>
    </row>
    <row r="78" spans="1:3" x14ac:dyDescent="0.2">
      <c r="A78" t="s">
        <v>274</v>
      </c>
      <c r="B78" t="s">
        <v>7</v>
      </c>
      <c r="C78" t="str">
        <f>_xlfn.XLOOKUP(B78,antibiotic_code_map!$A$2:$A$10055,antibiotic_code_map!$B$2:$B$10055)</f>
        <v>IPM</v>
      </c>
    </row>
    <row r="79" spans="1:3" x14ac:dyDescent="0.2">
      <c r="A79" t="s">
        <v>323</v>
      </c>
      <c r="B79" t="s">
        <v>21</v>
      </c>
      <c r="C79" t="str">
        <f>_xlfn.XLOOKUP(B79,antibiotic_code_map!$A$2:$A$10055,antibiotic_code_map!$B$2:$B$10055)</f>
        <v>AMC</v>
      </c>
    </row>
    <row r="80" spans="1:3" x14ac:dyDescent="0.2">
      <c r="A80" t="s">
        <v>324</v>
      </c>
      <c r="B80" t="s">
        <v>115</v>
      </c>
      <c r="C80" t="str">
        <f>_xlfn.XLOOKUP(B80,antibiotic_code_map!$A$2:$A$10055,antibiotic_code_map!$B$2:$B$10055)</f>
        <v>FOX</v>
      </c>
    </row>
    <row r="81" spans="1:3" x14ac:dyDescent="0.2">
      <c r="A81" t="s">
        <v>325</v>
      </c>
      <c r="B81" t="s">
        <v>108</v>
      </c>
      <c r="C81" t="str">
        <f>_xlfn.XLOOKUP(B81,antibiotic_code_map!$A$2:$A$10055,antibiotic_code_map!$B$2:$B$10055)</f>
        <v>FDC</v>
      </c>
    </row>
    <row r="82" spans="1:3" x14ac:dyDescent="0.2">
      <c r="A82" t="s">
        <v>326</v>
      </c>
      <c r="B82" t="s">
        <v>210</v>
      </c>
      <c r="C82" t="str">
        <f>_xlfn.XLOOKUP(B82,antibiotic_code_map!$A$2:$A$10055,antibiotic_code_map!$B$2:$B$10055)</f>
        <v>TMP</v>
      </c>
    </row>
    <row r="83" spans="1:3" x14ac:dyDescent="0.2">
      <c r="A83" t="s">
        <v>327</v>
      </c>
      <c r="B83" t="s">
        <v>214</v>
      </c>
      <c r="C83" t="str">
        <f>_xlfn.XLOOKUP(B83,antibiotic_code_map!$A$2:$A$10055,antibiotic_code_map!$B$2:$B$10055)</f>
        <v>TOL_TAZ</v>
      </c>
    </row>
    <row r="84" spans="1:3" x14ac:dyDescent="0.2">
      <c r="A84" t="s">
        <v>328</v>
      </c>
      <c r="B84" t="s">
        <v>193</v>
      </c>
      <c r="C84" t="str">
        <f>_xlfn.XLOOKUP(B84,antibiotic_code_map!$A$2:$A$10055,antibiotic_code_map!$B$2:$B$10055)</f>
        <v>STR</v>
      </c>
    </row>
    <row r="85" spans="1:3" x14ac:dyDescent="0.2">
      <c r="A85" t="s">
        <v>329</v>
      </c>
      <c r="B85" t="s">
        <v>5</v>
      </c>
      <c r="C85" t="str">
        <f>_xlfn.XLOOKUP(B85,antibiotic_code_map!$A$2:$A$10055,antibiotic_code_map!$B$2:$B$10055)</f>
        <v>GEN</v>
      </c>
    </row>
    <row r="86" spans="1:3" x14ac:dyDescent="0.2">
      <c r="A86" t="s">
        <v>330</v>
      </c>
      <c r="B86" t="s">
        <v>63</v>
      </c>
      <c r="C86" t="str">
        <f>_xlfn.XLOOKUP(B86,antibiotic_code_map!$A$2:$A$10055,antibiotic_code_map!$B$2:$B$10055)</f>
        <v>CLR</v>
      </c>
    </row>
    <row r="87" spans="1:3" x14ac:dyDescent="0.2">
      <c r="A87" t="s">
        <v>331</v>
      </c>
      <c r="B87" t="s">
        <v>67</v>
      </c>
      <c r="C87" t="str">
        <f>_xlfn.XLOOKUP(B87,antibiotic_code_map!$A$2:$A$10055,antibiotic_code_map!$B$2:$B$10055)</f>
        <v>CPD</v>
      </c>
    </row>
    <row r="88" spans="1:3" x14ac:dyDescent="0.2">
      <c r="A88" t="s">
        <v>332</v>
      </c>
      <c r="B88" t="s">
        <v>5</v>
      </c>
      <c r="C88" t="str">
        <f>_xlfn.XLOOKUP(B88,antibiotic_code_map!$A$2:$A$10055,antibiotic_code_map!$B$2:$B$10055)</f>
        <v>GEN</v>
      </c>
    </row>
    <row r="89" spans="1:3" x14ac:dyDescent="0.2">
      <c r="A89" t="s">
        <v>333</v>
      </c>
      <c r="B89" t="s">
        <v>172</v>
      </c>
      <c r="C89" t="str">
        <f>_xlfn.XLOOKUP(B89,antibiotic_code_map!$A$2:$A$10055,antibiotic_code_map!$B$2:$B$10055)</f>
        <v>PEN</v>
      </c>
    </row>
    <row r="90" spans="1:3" x14ac:dyDescent="0.2">
      <c r="A90" t="s">
        <v>334</v>
      </c>
      <c r="B90" t="s">
        <v>172</v>
      </c>
      <c r="C90" t="str">
        <f>_xlfn.XLOOKUP(B90,antibiotic_code_map!$A$2:$A$10055,antibiotic_code_map!$B$2:$B$10055)</f>
        <v>PEN</v>
      </c>
    </row>
    <row r="91" spans="1:3" x14ac:dyDescent="0.2">
      <c r="A91" t="s">
        <v>335</v>
      </c>
      <c r="B91" t="s">
        <v>71</v>
      </c>
      <c r="C91" t="str">
        <f>_xlfn.XLOOKUP(B91,antibiotic_code_map!$A$2:$A$10055,antibiotic_code_map!$B$2:$B$10055)</f>
        <v>CRO</v>
      </c>
    </row>
    <row r="92" spans="1:3" x14ac:dyDescent="0.2">
      <c r="A92" t="s">
        <v>336</v>
      </c>
      <c r="B92" t="s">
        <v>71</v>
      </c>
      <c r="C92" t="str">
        <f>_xlfn.XLOOKUP(B92,antibiotic_code_map!$A$2:$A$10055,antibiotic_code_map!$B$2:$B$10055)</f>
        <v>CRO</v>
      </c>
    </row>
    <row r="93" spans="1:3" x14ac:dyDescent="0.2">
      <c r="A93" t="s">
        <v>337</v>
      </c>
      <c r="B93" t="s">
        <v>53</v>
      </c>
      <c r="C93" t="str">
        <f>_xlfn.XLOOKUP(B93,antibiotic_code_map!$A$2:$A$10055,antibiotic_code_map!$B$2:$B$10055)</f>
        <v>CFM</v>
      </c>
    </row>
    <row r="94" spans="1:3" x14ac:dyDescent="0.2">
      <c r="A94" t="s">
        <v>338</v>
      </c>
      <c r="B94" t="s">
        <v>61</v>
      </c>
      <c r="C94" t="str">
        <f>_xlfn.XLOOKUP(B94,antibiotic_code_map!$A$2:$A$10055,antibiotic_code_map!$B$2:$B$10055)</f>
        <v>CLO</v>
      </c>
    </row>
    <row r="95" spans="1:3" x14ac:dyDescent="0.2">
      <c r="A95" t="s">
        <v>339</v>
      </c>
      <c r="B95" t="s">
        <v>193</v>
      </c>
      <c r="C95" t="str">
        <f>_xlfn.XLOOKUP(B95,antibiotic_code_map!$A$2:$A$10055,antibiotic_code_map!$B$2:$B$10055)</f>
        <v>STR</v>
      </c>
    </row>
    <row r="96" spans="1:3" x14ac:dyDescent="0.2">
      <c r="A96" t="s">
        <v>340</v>
      </c>
      <c r="B96" t="s">
        <v>204</v>
      </c>
      <c r="C96" t="str">
        <f>_xlfn.XLOOKUP(B96,antibiotic_code_map!$A$2:$A$10055,antibiotic_code_map!$B$2:$B$10055)</f>
        <v>TIC</v>
      </c>
    </row>
    <row r="97" spans="1:3" x14ac:dyDescent="0.2">
      <c r="A97" t="s">
        <v>341</v>
      </c>
      <c r="B97" t="s">
        <v>33</v>
      </c>
      <c r="C97" t="str">
        <f>_xlfn.XLOOKUP(B97,antibiotic_code_map!$A$2:$A$10055,antibiotic_code_map!$B$2:$B$10055)</f>
        <v>AZM</v>
      </c>
    </row>
    <row r="98" spans="1:3" x14ac:dyDescent="0.2">
      <c r="A98" t="s">
        <v>342</v>
      </c>
      <c r="B98" t="s">
        <v>245</v>
      </c>
      <c r="C98" t="str">
        <f>_xlfn.XLOOKUP(B98,antibiotic_code_map!$A$2:$A$10055,antibiotic_code_map!$B$2:$B$10055)</f>
        <v>MEC</v>
      </c>
    </row>
    <row r="99" spans="1:3" x14ac:dyDescent="0.2">
      <c r="A99" t="s">
        <v>343</v>
      </c>
      <c r="B99" t="s">
        <v>244</v>
      </c>
      <c r="C99" t="str">
        <f>_xlfn.XLOOKUP(B99,antibiotic_code_map!$A$2:$A$10055,antibiotic_code_map!$B$2:$B$10055)</f>
        <v>ESBL</v>
      </c>
    </row>
    <row r="100" spans="1:3" x14ac:dyDescent="0.2">
      <c r="A100" t="s">
        <v>278</v>
      </c>
      <c r="B100" t="s">
        <v>8</v>
      </c>
      <c r="C100" t="str">
        <f>_xlfn.XLOOKUP(B100,antibiotic_code_map!$A$2:$A$10055,antibiotic_code_map!$B$2:$B$10055)</f>
        <v>PIP</v>
      </c>
    </row>
    <row r="101" spans="1:3" x14ac:dyDescent="0.2">
      <c r="A101" t="s">
        <v>344</v>
      </c>
      <c r="B101" t="s">
        <v>197</v>
      </c>
      <c r="C101" t="str">
        <f>_xlfn.XLOOKUP(B101,antibiotic_code_map!$A$2:$A$10055,antibiotic_code_map!$B$2:$B$10055)</f>
        <v>SXM</v>
      </c>
    </row>
    <row r="102" spans="1:3" x14ac:dyDescent="0.2">
      <c r="A102" t="s">
        <v>345</v>
      </c>
      <c r="B102" t="s">
        <v>74</v>
      </c>
      <c r="C102" t="str">
        <f>_xlfn.XLOOKUP(B102,antibiotic_code_map!$A$2:$A$10055,antibiotic_code_map!$B$2:$B$10055)</f>
        <v>CTT</v>
      </c>
    </row>
    <row r="103" spans="1:3" x14ac:dyDescent="0.2">
      <c r="A103" t="s">
        <v>317</v>
      </c>
      <c r="B103" t="s">
        <v>9</v>
      </c>
      <c r="C103" t="str">
        <f>_xlfn.XLOOKUP(B103,antibiotic_code_map!$A$2:$A$10055,antibiotic_code_map!$B$2:$B$10055)</f>
        <v>CST</v>
      </c>
    </row>
    <row r="104" spans="1:3" x14ac:dyDescent="0.2">
      <c r="A104" t="s">
        <v>346</v>
      </c>
      <c r="B104" t="s">
        <v>128</v>
      </c>
      <c r="C104" t="str">
        <f>_xlfn.XLOOKUP(B104,antibiotic_code_map!$A$2:$A$10055,antibiotic_code_map!$B$2:$B$10055)</f>
        <v>ISA</v>
      </c>
    </row>
    <row r="105" spans="1:3" x14ac:dyDescent="0.2">
      <c r="A105" t="s">
        <v>10</v>
      </c>
      <c r="B105" t="s">
        <v>243</v>
      </c>
      <c r="C105" t="str">
        <f>_xlfn.XLOOKUP(B105,antibiotic_code_map!$A$2:$A$10055,antibiotic_code_map!$B$2:$B$10055)</f>
        <v>CARBA</v>
      </c>
    </row>
    <row r="106" spans="1:3" x14ac:dyDescent="0.2">
      <c r="A106" t="s">
        <v>347</v>
      </c>
      <c r="B106" t="s">
        <v>172</v>
      </c>
      <c r="C106" t="str">
        <f>_xlfn.XLOOKUP(B106,antibiotic_code_map!$A$2:$A$10055,antibiotic_code_map!$B$2:$B$10055)</f>
        <v>PEN</v>
      </c>
    </row>
    <row r="107" spans="1:3" x14ac:dyDescent="0.2">
      <c r="A107" t="s">
        <v>348</v>
      </c>
      <c r="B107" t="s">
        <v>170</v>
      </c>
      <c r="C107" t="str">
        <f>_xlfn.XLOOKUP(B107,antibiotic_code_map!$A$2:$A$10055,antibiotic_code_map!$B$2:$B$10055)</f>
        <v>OXA</v>
      </c>
    </row>
    <row r="108" spans="1:3" x14ac:dyDescent="0.2">
      <c r="A108" t="s">
        <v>11</v>
      </c>
      <c r="B108" t="s">
        <v>172</v>
      </c>
      <c r="C108" t="str">
        <f>_xlfn.XLOOKUP(B108,antibiotic_code_map!$A$2:$A$10055,antibiotic_code_map!$B$2:$B$10055)</f>
        <v>PEN</v>
      </c>
    </row>
    <row r="109" spans="1:3" x14ac:dyDescent="0.2">
      <c r="A109" t="s">
        <v>349</v>
      </c>
      <c r="B109" t="s">
        <v>126</v>
      </c>
      <c r="C109" t="str">
        <f>_xlfn.XLOOKUP(B109,antibiotic_code_map!$A$2:$A$10055,antibiotic_code_map!$B$2:$B$10055)</f>
        <v>IPM_REL</v>
      </c>
    </row>
    <row r="110" spans="1:3" x14ac:dyDescent="0.2">
      <c r="A110" t="s">
        <v>350</v>
      </c>
      <c r="B110" t="s">
        <v>236</v>
      </c>
      <c r="C110" t="str">
        <f>_xlfn.XLOOKUP(B110,antibiotic_code_map!$A$2:$A$10055,antibiotic_code_map!$B$2:$B$10055)</f>
        <v>ICR</v>
      </c>
    </row>
    <row r="111" spans="1:3" x14ac:dyDescent="0.2">
      <c r="A111" t="s">
        <v>351</v>
      </c>
      <c r="B111" t="s">
        <v>172</v>
      </c>
      <c r="C111" t="str">
        <f>_xlfn.XLOOKUP(B111,antibiotic_code_map!$A$2:$A$10055,antibiotic_code_map!$B$2:$B$10055)</f>
        <v>PEN</v>
      </c>
    </row>
    <row r="112" spans="1:3" x14ac:dyDescent="0.2">
      <c r="A112" t="s">
        <v>352</v>
      </c>
      <c r="B112" t="s">
        <v>181</v>
      </c>
      <c r="C112" t="str">
        <f>_xlfn.XLOOKUP(B112,antibiotic_code_map!$A$2:$A$10055,antibiotic_code_map!$B$2:$B$10055)</f>
        <v>PZA</v>
      </c>
    </row>
    <row r="113" spans="1:3" x14ac:dyDescent="0.2">
      <c r="A113" t="s">
        <v>353</v>
      </c>
      <c r="B113" t="s">
        <v>92</v>
      </c>
      <c r="C113" t="str">
        <f>_xlfn.XLOOKUP(B113,antibiotic_code_map!$A$2:$A$10055,antibiotic_code_map!$B$2:$B$10055)</f>
        <v>EMB</v>
      </c>
    </row>
    <row r="114" spans="1:3" x14ac:dyDescent="0.2">
      <c r="A114" t="s">
        <v>354</v>
      </c>
      <c r="B114" t="s">
        <v>123</v>
      </c>
      <c r="C114" t="str">
        <f>_xlfn.XLOOKUP(B114,antibiotic_code_map!$A$2:$A$10055,antibiotic_code_map!$B$2:$B$10055)</f>
        <v>INH</v>
      </c>
    </row>
    <row r="115" spans="1:3" x14ac:dyDescent="0.2">
      <c r="A115" t="s">
        <v>355</v>
      </c>
      <c r="B115" t="s">
        <v>123</v>
      </c>
      <c r="C115" t="str">
        <f>_xlfn.XLOOKUP(B115,antibiotic_code_map!$A$2:$A$10055,antibiotic_code_map!$B$2:$B$10055)</f>
        <v>INH</v>
      </c>
    </row>
    <row r="116" spans="1:3" x14ac:dyDescent="0.2">
      <c r="A116" t="s">
        <v>356</v>
      </c>
      <c r="B116" t="s">
        <v>84</v>
      </c>
      <c r="C116" t="str">
        <f>_xlfn.XLOOKUP(B116,antibiotic_code_map!$A$2:$A$10055,antibiotic_code_map!$B$2:$B$10055)</f>
        <v>DCS</v>
      </c>
    </row>
    <row r="117" spans="1:3" x14ac:dyDescent="0.2">
      <c r="A117" t="s">
        <v>357</v>
      </c>
      <c r="B117" t="s">
        <v>92</v>
      </c>
      <c r="C117" t="str">
        <f>_xlfn.XLOOKUP(B117,antibiotic_code_map!$A$2:$A$10055,antibiotic_code_map!$B$2:$B$10055)</f>
        <v>EMB</v>
      </c>
    </row>
    <row r="118" spans="1:3" x14ac:dyDescent="0.2">
      <c r="A118" t="s">
        <v>358</v>
      </c>
      <c r="B118" t="s">
        <v>23</v>
      </c>
      <c r="C118" t="str">
        <f>_xlfn.XLOOKUP(B118,antibiotic_code_map!$A$2:$A$10055,antibiotic_code_map!$B$2:$B$10055)</f>
        <v>AMK</v>
      </c>
    </row>
    <row r="119" spans="1:3" x14ac:dyDescent="0.2">
      <c r="A119" t="s">
        <v>359</v>
      </c>
      <c r="B119" t="s">
        <v>193</v>
      </c>
      <c r="C119" t="str">
        <f>_xlfn.XLOOKUP(B119,antibiotic_code_map!$A$2:$A$10055,antibiotic_code_map!$B$2:$B$10055)</f>
        <v>STR</v>
      </c>
    </row>
    <row r="120" spans="1:3" x14ac:dyDescent="0.2">
      <c r="A120" t="s">
        <v>360</v>
      </c>
      <c r="B120" t="s">
        <v>187</v>
      </c>
      <c r="C120" t="str">
        <f>_xlfn.XLOOKUP(B120,antibiotic_code_map!$A$2:$A$10055,antibiotic_code_map!$B$2:$B$10055)</f>
        <v>RIF</v>
      </c>
    </row>
    <row r="121" spans="1:3" x14ac:dyDescent="0.2">
      <c r="A121" t="s">
        <v>361</v>
      </c>
      <c r="B121" t="s">
        <v>123</v>
      </c>
      <c r="C121" t="str">
        <f>_xlfn.XLOOKUP(B121,antibiotic_code_map!$A$2:$A$10055,antibiotic_code_map!$B$2:$B$10055)</f>
        <v>INH</v>
      </c>
    </row>
    <row r="122" spans="1:3" x14ac:dyDescent="0.2">
      <c r="A122" t="s">
        <v>362</v>
      </c>
      <c r="B122" t="s">
        <v>155</v>
      </c>
      <c r="C122" t="str">
        <f>_xlfn.XLOOKUP(B122,antibiotic_code_map!$A$2:$A$10055,antibiotic_code_map!$B$2:$B$10055)</f>
        <v>MXF</v>
      </c>
    </row>
    <row r="123" spans="1:3" x14ac:dyDescent="0.2">
      <c r="A123" t="s">
        <v>363</v>
      </c>
      <c r="B123" t="s">
        <v>101</v>
      </c>
      <c r="C123" t="str">
        <f>_xlfn.XLOOKUP(B123,antibiotic_code_map!$A$2:$A$10055,antibiotic_code_map!$B$2:$B$10055)</f>
        <v>ETO</v>
      </c>
    </row>
    <row r="124" spans="1:3" x14ac:dyDescent="0.2">
      <c r="A124" t="s">
        <v>364</v>
      </c>
      <c r="B124" t="s">
        <v>132</v>
      </c>
      <c r="C124" t="str">
        <f>_xlfn.XLOOKUP(B124,antibiotic_code_map!$A$2:$A$10055,antibiotic_code_map!$B$2:$B$10055)</f>
        <v>KAN</v>
      </c>
    </row>
    <row r="125" spans="1:3" x14ac:dyDescent="0.2">
      <c r="A125" t="s">
        <v>365</v>
      </c>
      <c r="B125" t="s">
        <v>38</v>
      </c>
      <c r="C125" t="str">
        <f>_xlfn.XLOOKUP(B125,antibiotic_code_map!$A$2:$A$10055,antibiotic_code_map!$B$2:$B$10055)</f>
        <v>CAP</v>
      </c>
    </row>
    <row r="126" spans="1:3" x14ac:dyDescent="0.2">
      <c r="A126" t="s">
        <v>366</v>
      </c>
      <c r="B126" t="s">
        <v>123</v>
      </c>
      <c r="C126" t="str">
        <f>_xlfn.XLOOKUP(B126,antibiotic_code_map!$A$2:$A$10055,antibiotic_code_map!$B$2:$B$10055)</f>
        <v>INH</v>
      </c>
    </row>
    <row r="127" spans="1:3" x14ac:dyDescent="0.2">
      <c r="A127" t="s">
        <v>367</v>
      </c>
      <c r="B127" t="s">
        <v>242</v>
      </c>
      <c r="C127" t="str">
        <f>_xlfn.XLOOKUP(B127,antibiotic_code_map!$A$2:$A$10055,antibiotic_code_map!$B$2:$B$10055)</f>
        <v>CARBA</v>
      </c>
    </row>
    <row r="128" spans="1:3" x14ac:dyDescent="0.2">
      <c r="A128" t="s">
        <v>368</v>
      </c>
      <c r="B128" t="s">
        <v>246</v>
      </c>
      <c r="C128" t="str">
        <f>_xlfn.XLOOKUP(B128,antibiotic_code_map!$A$2:$A$10055,antibiotic_code_map!$B$2:$B$10055)</f>
        <v>CARBA</v>
      </c>
    </row>
    <row r="129" spans="1:3" x14ac:dyDescent="0.2">
      <c r="A129" t="s">
        <v>369</v>
      </c>
      <c r="B129" t="s">
        <v>241</v>
      </c>
      <c r="C129" t="str">
        <f>_xlfn.XLOOKUP(B129,antibiotic_code_map!$A$2:$A$10055,antibiotic_code_map!$B$2:$B$10055)</f>
        <v>CARBA</v>
      </c>
    </row>
    <row r="130" spans="1:3" x14ac:dyDescent="0.2">
      <c r="A130" t="s">
        <v>370</v>
      </c>
      <c r="B130" t="s">
        <v>247</v>
      </c>
      <c r="C130" t="str">
        <f>_xlfn.XLOOKUP(B130,antibiotic_code_map!$A$2:$A$10055,antibiotic_code_map!$B$2:$B$10055)</f>
        <v>CARBA</v>
      </c>
    </row>
    <row r="131" spans="1:3" x14ac:dyDescent="0.2">
      <c r="A131" t="s">
        <v>371</v>
      </c>
      <c r="B131" t="s">
        <v>239</v>
      </c>
      <c r="C131" t="str">
        <f>_xlfn.XLOOKUP(B131,antibiotic_code_map!$A$2:$A$10055,antibiotic_code_map!$B$2:$B$10055)</f>
        <v>CARBA</v>
      </c>
    </row>
    <row r="132" spans="1:3" x14ac:dyDescent="0.2">
      <c r="A132" t="s">
        <v>372</v>
      </c>
      <c r="B132" t="s">
        <v>216</v>
      </c>
      <c r="C132" t="str">
        <f>_xlfn.XLOOKUP(B132,antibiotic_code_map!$A$2:$A$10055,antibiotic_code_map!$B$2:$B$10055)</f>
        <v>TRB</v>
      </c>
    </row>
    <row r="133" spans="1:3" x14ac:dyDescent="0.2">
      <c r="A133" t="s">
        <v>373</v>
      </c>
      <c r="B133" t="s">
        <v>185</v>
      </c>
      <c r="C133" t="str">
        <f>_xlfn.XLOOKUP(B133,antibiotic_code_map!$A$2:$A$10055,antibiotic_code_map!$B$2:$B$10055)</f>
        <v>RFB</v>
      </c>
    </row>
    <row r="134" spans="1:3" x14ac:dyDescent="0.2">
      <c r="A134" t="s">
        <v>374</v>
      </c>
      <c r="B134" t="s">
        <v>199</v>
      </c>
      <c r="C134" t="str">
        <f>_xlfn.XLOOKUP(B134,antibiotic_code_map!$A$2:$A$10055,antibiotic_code_map!$B$2:$B$10055)</f>
        <v>SXT</v>
      </c>
    </row>
    <row r="135" spans="1:3" x14ac:dyDescent="0.2">
      <c r="A135" t="s">
        <v>375</v>
      </c>
      <c r="B135" t="s">
        <v>166</v>
      </c>
      <c r="C135" t="str">
        <f>_xlfn.XLOOKUP(B135,antibiotic_code_map!$A$2:$A$10055,antibiotic_code_map!$B$2:$B$10055)</f>
        <v>OFX</v>
      </c>
    </row>
    <row r="136" spans="1:3" x14ac:dyDescent="0.2">
      <c r="A136" t="s">
        <v>376</v>
      </c>
      <c r="B136" t="s">
        <v>183</v>
      </c>
      <c r="C136" t="str">
        <f>_xlfn.XLOOKUP(B136,antibiotic_code_map!$A$2:$A$10055,antibiotic_code_map!$B$2:$B$10055)</f>
        <v>QUD</v>
      </c>
    </row>
    <row r="137" spans="1:3" x14ac:dyDescent="0.2">
      <c r="A137" t="s">
        <v>377</v>
      </c>
      <c r="B137" t="s">
        <v>15</v>
      </c>
      <c r="C137" t="str">
        <f>_xlfn.XLOOKUP(B137,antibiotic_code_map!$A$2:$A$10055,antibiotic_code_map!$B$2:$B$10055)</f>
        <v>5FC</v>
      </c>
    </row>
    <row r="138" spans="1:3" x14ac:dyDescent="0.2">
      <c r="A138" t="s">
        <v>295</v>
      </c>
      <c r="B138" t="s">
        <v>12</v>
      </c>
      <c r="C138" t="str">
        <f>_xlfn.XLOOKUP(B138,antibiotic_code_map!$A$2:$A$10055,antibiotic_code_map!$B$2:$B$10055)</f>
        <v>VRC</v>
      </c>
    </row>
    <row r="139" spans="1:3" x14ac:dyDescent="0.2">
      <c r="A139" t="s">
        <v>378</v>
      </c>
      <c r="B139" t="s">
        <v>193</v>
      </c>
      <c r="C139" t="str">
        <f>_xlfn.XLOOKUP(B139,antibiotic_code_map!$A$2:$A$10055,antibiotic_code_map!$B$2:$B$10055)</f>
        <v>STR</v>
      </c>
    </row>
    <row r="140" spans="1:3" x14ac:dyDescent="0.2">
      <c r="A140" t="s">
        <v>379</v>
      </c>
      <c r="B140" t="s">
        <v>49</v>
      </c>
      <c r="C140" t="str">
        <f>_xlfn.XLOOKUP(B140,antibiotic_code_map!$A$2:$A$10055,antibiotic_code_map!$B$2:$B$10055)</f>
        <v>CEC</v>
      </c>
    </row>
    <row r="141" spans="1:3" x14ac:dyDescent="0.2">
      <c r="A141" t="s">
        <v>380</v>
      </c>
      <c r="B141" t="s">
        <v>191</v>
      </c>
      <c r="C141" t="str">
        <f>_xlfn.XLOOKUP(B141,antibiotic_code_map!$A$2:$A$10055,antibiotic_code_map!$B$2:$B$10055)</f>
        <v>SPT</v>
      </c>
    </row>
    <row r="142" spans="1:3" x14ac:dyDescent="0.2">
      <c r="A142" t="s">
        <v>381</v>
      </c>
      <c r="B142" t="s">
        <v>243</v>
      </c>
      <c r="C142" t="str">
        <f>_xlfn.XLOOKUP(B142,antibiotic_code_map!$A$2:$A$10055,antibiotic_code_map!$B$2:$B$10055)</f>
        <v>CARBA</v>
      </c>
    </row>
    <row r="143" spans="1:3" x14ac:dyDescent="0.2">
      <c r="A143" t="s">
        <v>382</v>
      </c>
      <c r="B143" t="s">
        <v>193</v>
      </c>
      <c r="C143" t="str">
        <f>_xlfn.XLOOKUP(B143,antibiotic_code_map!$A$2:$A$10055,antibiotic_code_map!$B$2:$B$10055)</f>
        <v>STR</v>
      </c>
    </row>
    <row r="144" spans="1:3" x14ac:dyDescent="0.2">
      <c r="A144" t="s">
        <v>383</v>
      </c>
      <c r="B144" t="s">
        <v>94</v>
      </c>
      <c r="C144" t="str">
        <f>_xlfn.XLOOKUP(B144,antibiotic_code_map!$A$2:$A$10055,antibiotic_code_map!$B$2:$B$10055)</f>
        <v>EMB_RIF</v>
      </c>
    </row>
    <row r="145" spans="1:3" x14ac:dyDescent="0.2">
      <c r="A145" t="s">
        <v>384</v>
      </c>
      <c r="B145" t="s">
        <v>187</v>
      </c>
      <c r="C145" t="str">
        <f>_xlfn.XLOOKUP(B145,antibiotic_code_map!$A$2:$A$10055,antibiotic_code_map!$B$2:$B$10055)</f>
        <v>RIF</v>
      </c>
    </row>
    <row r="146" spans="1:3" x14ac:dyDescent="0.2">
      <c r="A146" t="s">
        <v>385</v>
      </c>
      <c r="B146" t="s">
        <v>92</v>
      </c>
      <c r="C146" t="str">
        <f>_xlfn.XLOOKUP(B146,antibiotic_code_map!$A$2:$A$10055,antibiotic_code_map!$B$2:$B$10055)</f>
        <v>EMB</v>
      </c>
    </row>
    <row r="147" spans="1:3" x14ac:dyDescent="0.2">
      <c r="A147" t="s">
        <v>386</v>
      </c>
      <c r="B147" t="s">
        <v>208</v>
      </c>
      <c r="C147" t="str">
        <f>_xlfn.XLOOKUP(B147,antibiotic_code_map!$A$2:$A$10055,antibiotic_code_map!$B$2:$B$10055)</f>
        <v>TLV</v>
      </c>
    </row>
    <row r="148" spans="1:3" x14ac:dyDescent="0.2">
      <c r="A148" t="s">
        <v>387</v>
      </c>
      <c r="B148" t="s">
        <v>27</v>
      </c>
      <c r="C148" t="str">
        <f>_xlfn.XLOOKUP(B148,antibiotic_code_map!$A$2:$A$10055,antibiotic_code_map!$B$2:$B$10055)</f>
        <v>AMX</v>
      </c>
    </row>
    <row r="149" spans="1:3" x14ac:dyDescent="0.2">
      <c r="A149" t="s">
        <v>388</v>
      </c>
      <c r="B149" t="s">
        <v>248</v>
      </c>
      <c r="C149" t="str">
        <f>_xlfn.XLOOKUP(B149,antibiotic_code_map!$A$2:$A$10055,antibiotic_code_map!$B$2:$B$10055)</f>
        <v>RZF</v>
      </c>
    </row>
    <row r="150" spans="1:3" x14ac:dyDescent="0.2">
      <c r="A150" t="s">
        <v>389</v>
      </c>
      <c r="B150" t="s">
        <v>153</v>
      </c>
      <c r="C150" t="str">
        <f>_xlfn.XLOOKUP(B150,antibiotic_code_map!$A$2:$A$10055,antibiotic_code_map!$B$2:$B$10055)</f>
        <v>MTZ</v>
      </c>
    </row>
    <row r="151" spans="1:3" x14ac:dyDescent="0.2">
      <c r="A151" t="s">
        <v>390</v>
      </c>
      <c r="B151" t="s">
        <v>224</v>
      </c>
      <c r="C151" t="str">
        <f>_xlfn.XLOOKUP(B151,antibiotic_code_map!$A$2:$A$10055,antibiotic_code_map!$B$2:$B$10055)</f>
        <v>BLAC</v>
      </c>
    </row>
    <row r="152" spans="1:3" x14ac:dyDescent="0.2">
      <c r="A152" t="s">
        <v>391</v>
      </c>
      <c r="B152" t="s">
        <v>88</v>
      </c>
      <c r="C152" t="str">
        <f>_xlfn.XLOOKUP(B152,antibiotic_code_map!$A$2:$A$10055,antibiotic_code_map!$B$2:$B$10055)</f>
        <v>DOR</v>
      </c>
    </row>
    <row r="153" spans="1:3" x14ac:dyDescent="0.2">
      <c r="A153" t="s">
        <v>392</v>
      </c>
      <c r="B153" t="s">
        <v>175</v>
      </c>
      <c r="C153" t="str">
        <f>_xlfn.XLOOKUP(B153,antibiotic_code_map!$A$2:$A$10055,antibiotic_code_map!$B$2:$B$10055)</f>
        <v>PLZ</v>
      </c>
    </row>
    <row r="154" spans="1:3" x14ac:dyDescent="0.2">
      <c r="A154" t="s">
        <v>393</v>
      </c>
      <c r="B154" t="s">
        <v>170</v>
      </c>
      <c r="C154" t="str">
        <f>_xlfn.XLOOKUP(B154,antibiotic_code_map!$A$2:$A$10055,antibiotic_code_map!$B$2:$B$10055)</f>
        <v>OXA</v>
      </c>
    </row>
    <row r="155" spans="1:3" x14ac:dyDescent="0.2">
      <c r="A155" t="s">
        <v>394</v>
      </c>
      <c r="B155" t="s">
        <v>168</v>
      </c>
      <c r="C155" t="str">
        <f>_xlfn.XLOOKUP(B155,antibiotic_code_map!$A$2:$A$10055,antibiotic_code_map!$B$2:$B$10055)</f>
        <v>OMC</v>
      </c>
    </row>
    <row r="156" spans="1:3" x14ac:dyDescent="0.2">
      <c r="A156" t="s">
        <v>395</v>
      </c>
      <c r="B156" t="s">
        <v>86</v>
      </c>
      <c r="C156" t="str">
        <f>_xlfn.XLOOKUP(B156,antibiotic_code_map!$A$2:$A$10055,antibiotic_code_map!$B$2:$B$10055)</f>
        <v>DLX</v>
      </c>
    </row>
    <row r="157" spans="1:3" x14ac:dyDescent="0.2">
      <c r="A157" t="s">
        <v>396</v>
      </c>
      <c r="B157" t="s">
        <v>195</v>
      </c>
      <c r="C157" t="str">
        <f>_xlfn.XLOOKUP(B157,antibiotic_code_map!$A$2:$A$10055,antibiotic_code_map!$B$2:$B$10055)</f>
        <v>SUL_DUR</v>
      </c>
    </row>
    <row r="158" spans="1:3" x14ac:dyDescent="0.2">
      <c r="A158" t="s">
        <v>397</v>
      </c>
      <c r="B158" t="s">
        <v>31</v>
      </c>
      <c r="C158" t="str">
        <f>_xlfn.XLOOKUP(B158,antibiotic_code_map!$A$2:$A$10055,antibiotic_code_map!$B$2:$B$10055)</f>
        <v>ATM_AVI</v>
      </c>
    </row>
    <row r="159" spans="1:3" x14ac:dyDescent="0.2">
      <c r="A159" t="s">
        <v>398</v>
      </c>
      <c r="B159" t="s">
        <v>47</v>
      </c>
      <c r="C159" t="str">
        <f>_xlfn.XLOOKUP(B159,antibiotic_code_map!$A$2:$A$10055,antibiotic_code_map!$B$2:$B$10055)</f>
        <v>CAZ_CLV</v>
      </c>
    </row>
    <row r="160" spans="1:3" x14ac:dyDescent="0.2">
      <c r="A160" t="s">
        <v>399</v>
      </c>
      <c r="B160" t="s">
        <v>78</v>
      </c>
      <c r="C160" t="str">
        <f>_xlfn.XLOOKUP(B160,antibiotic_code_map!$A$2:$A$10055,antibiotic_code_map!$B$2:$B$10055)</f>
        <v>CTX_CLV</v>
      </c>
    </row>
    <row r="161" spans="1:3" x14ac:dyDescent="0.2">
      <c r="A161" t="s">
        <v>400</v>
      </c>
      <c r="B161" t="s">
        <v>199</v>
      </c>
      <c r="C161" t="str">
        <f>_xlfn.XLOOKUP(B161,antibiotic_code_map!$A$2:$A$10055,antibiotic_code_map!$B$2:$B$10055)</f>
        <v>SXT</v>
      </c>
    </row>
    <row r="162" spans="1:3" x14ac:dyDescent="0.2">
      <c r="A162" t="s">
        <v>401</v>
      </c>
      <c r="B162" t="s">
        <v>140</v>
      </c>
      <c r="C162" t="str">
        <f>_xlfn.XLOOKUP(B162,antibiotic_code_map!$A$2:$A$10055,antibiotic_code_map!$B$2:$B$10055)</f>
        <v>MCZ</v>
      </c>
    </row>
    <row r="163" spans="1:3" x14ac:dyDescent="0.2">
      <c r="A163" t="s">
        <v>402</v>
      </c>
      <c r="B163" t="s">
        <v>218</v>
      </c>
      <c r="C163" t="str">
        <f>_xlfn.XLOOKUP(B163,antibiotic_code_map!$A$2:$A$10055,antibiotic_code_map!$B$2:$B$10055)</f>
        <v>TRC</v>
      </c>
    </row>
    <row r="164" spans="1:3" x14ac:dyDescent="0.2">
      <c r="A164" t="s">
        <v>403</v>
      </c>
      <c r="B164" t="s">
        <v>35</v>
      </c>
      <c r="C164" t="str">
        <f>_xlfn.XLOOKUP(B164,antibiotic_code_map!$A$2:$A$10055,antibiotic_code_map!$B$2:$B$10055)</f>
        <v>BDQ</v>
      </c>
    </row>
    <row r="165" spans="1:3" x14ac:dyDescent="0.2">
      <c r="A165" t="s">
        <v>404</v>
      </c>
      <c r="B165" t="s">
        <v>172</v>
      </c>
      <c r="C165" t="str">
        <f>_xlfn.XLOOKUP(B165,antibiotic_code_map!$A$2:$A$10055,antibiotic_code_map!$B$2:$B$10055)</f>
        <v>PEN</v>
      </c>
    </row>
    <row r="166" spans="1:3" x14ac:dyDescent="0.2">
      <c r="A166" t="s">
        <v>405</v>
      </c>
      <c r="B166" t="s">
        <v>172</v>
      </c>
      <c r="C166" t="str">
        <f>_xlfn.XLOOKUP(B166,antibiotic_code_map!$A$2:$A$10055,antibiotic_code_map!$B$2:$B$10055)</f>
        <v>PEN</v>
      </c>
    </row>
    <row r="167" spans="1:3" x14ac:dyDescent="0.2">
      <c r="A167" t="s">
        <v>406</v>
      </c>
      <c r="B167" t="s">
        <v>71</v>
      </c>
      <c r="C167" t="str">
        <f>_xlfn.XLOOKUP(B167,antibiotic_code_map!$A$2:$A$10055,antibiotic_code_map!$B$2:$B$10055)</f>
        <v>CRO</v>
      </c>
    </row>
    <row r="168" spans="1:3" x14ac:dyDescent="0.2">
      <c r="A168" t="s">
        <v>407</v>
      </c>
      <c r="B168" t="s">
        <v>76</v>
      </c>
      <c r="C168" t="str">
        <f>_xlfn.XLOOKUP(B168,antibiotic_code_map!$A$2:$A$10055,antibiotic_code_map!$B$2:$B$10055)</f>
        <v>CTX</v>
      </c>
    </row>
    <row r="169" spans="1:3" x14ac:dyDescent="0.2">
      <c r="A169" t="s">
        <v>408</v>
      </c>
      <c r="B169" t="s">
        <v>76</v>
      </c>
      <c r="C169" t="str">
        <f>_xlfn.XLOOKUP(B169,antibiotic_code_map!$A$2:$A$10055,antibiotic_code_map!$B$2:$B$10055)</f>
        <v>CTX</v>
      </c>
    </row>
    <row r="170" spans="1:3" x14ac:dyDescent="0.2">
      <c r="A170" t="s">
        <v>409</v>
      </c>
      <c r="B170" t="s">
        <v>187</v>
      </c>
      <c r="C170" t="str">
        <f>_xlfn.XLOOKUP(B170,antibiotic_code_map!$A$2:$A$10055,antibiotic_code_map!$B$2:$B$10055)</f>
        <v>RIF</v>
      </c>
    </row>
    <row r="171" spans="1:3" x14ac:dyDescent="0.2">
      <c r="A171" t="s">
        <v>410</v>
      </c>
      <c r="B171" t="s">
        <v>181</v>
      </c>
      <c r="C171" t="str">
        <f>_xlfn.XLOOKUP(B171,antibiotic_code_map!$A$2:$A$10055,antibiotic_code_map!$B$2:$B$10055)</f>
        <v>PZA</v>
      </c>
    </row>
    <row r="172" spans="1:3" x14ac:dyDescent="0.2">
      <c r="A172" t="s">
        <v>411</v>
      </c>
      <c r="B172" t="s">
        <v>172</v>
      </c>
      <c r="C172" t="str">
        <f>_xlfn.XLOOKUP(B172,antibiotic_code_map!$A$2:$A$10055,antibiotic_code_map!$B$2:$B$10055)</f>
        <v>PEN</v>
      </c>
    </row>
    <row r="173" spans="1:3" x14ac:dyDescent="0.2">
      <c r="A173" t="s">
        <v>412</v>
      </c>
      <c r="B173" t="s">
        <v>71</v>
      </c>
      <c r="C173" t="str">
        <f>_xlfn.XLOOKUP(B173,antibiotic_code_map!$A$2:$A$10055,antibiotic_code_map!$B$2:$B$10055)</f>
        <v>CRO</v>
      </c>
    </row>
    <row r="174" spans="1:3" x14ac:dyDescent="0.2">
      <c r="A174" t="s">
        <v>413</v>
      </c>
      <c r="B174" t="s">
        <v>71</v>
      </c>
      <c r="C174" t="str">
        <f>_xlfn.XLOOKUP(B174,antibiotic_code_map!$A$2:$A$10055,antibiotic_code_map!$B$2:$B$10055)</f>
        <v>CRO</v>
      </c>
    </row>
    <row r="175" spans="1:3" x14ac:dyDescent="0.2">
      <c r="A175" t="s">
        <v>414</v>
      </c>
      <c r="B175" t="s">
        <v>134</v>
      </c>
      <c r="C175" t="str">
        <f>_xlfn.XLOOKUP(B175,antibiotic_code_map!$A$2:$A$10055,antibiotic_code_map!$B$2:$B$10055)</f>
        <v>KTC</v>
      </c>
    </row>
    <row r="176" spans="1:3" x14ac:dyDescent="0.2">
      <c r="A176" t="s">
        <v>415</v>
      </c>
      <c r="B176" t="s">
        <v>92</v>
      </c>
      <c r="C176" t="str">
        <f>_xlfn.XLOOKUP(B176,antibiotic_code_map!$A$2:$A$10055,antibiotic_code_map!$B$2:$B$10055)</f>
        <v>EMB</v>
      </c>
    </row>
    <row r="177" spans="1:3" x14ac:dyDescent="0.2">
      <c r="A177" t="s">
        <v>416</v>
      </c>
      <c r="B177" t="s">
        <v>123</v>
      </c>
      <c r="C177" t="str">
        <f>_xlfn.XLOOKUP(B177,antibiotic_code_map!$A$2:$A$10055,antibiotic_code_map!$B$2:$B$10055)</f>
        <v>INH</v>
      </c>
    </row>
    <row r="178" spans="1:3" x14ac:dyDescent="0.2">
      <c r="A178" t="s">
        <v>417</v>
      </c>
      <c r="B178" t="s">
        <v>193</v>
      </c>
      <c r="C178" t="str">
        <f>_xlfn.XLOOKUP(B178,antibiotic_code_map!$A$2:$A$10055,antibiotic_code_map!$B$2:$B$10055)</f>
        <v>STR</v>
      </c>
    </row>
    <row r="179" spans="1:3" x14ac:dyDescent="0.2">
      <c r="A179" t="s">
        <v>418</v>
      </c>
      <c r="B179" t="s">
        <v>177</v>
      </c>
      <c r="C179" t="str">
        <f>_xlfn.XLOOKUP(B179,antibiotic_code_map!$A$2:$A$10055,antibiotic_code_map!$B$2:$B$10055)</f>
        <v>PMB</v>
      </c>
    </row>
    <row r="180" spans="1:3" x14ac:dyDescent="0.2">
      <c r="A180" t="s">
        <v>419</v>
      </c>
      <c r="B180" t="s">
        <v>71</v>
      </c>
      <c r="C180" t="str">
        <f>_xlfn.XLOOKUP(B180,antibiotic_code_map!$A$2:$A$10055,antibiotic_code_map!$B$2:$B$10055)</f>
        <v>CRO</v>
      </c>
    </row>
    <row r="181" spans="1:3" x14ac:dyDescent="0.2">
      <c r="A181" t="s">
        <v>420</v>
      </c>
      <c r="B181" t="s">
        <v>145</v>
      </c>
      <c r="C181" t="str">
        <f>_xlfn.XLOOKUP(B181,antibiotic_code_map!$A$2:$A$10055,antibiotic_code_map!$B$2:$B$10055)</f>
        <v>MEM_IMI</v>
      </c>
    </row>
    <row r="182" spans="1:3" x14ac:dyDescent="0.2">
      <c r="A182" t="s">
        <v>421</v>
      </c>
      <c r="B182" t="s">
        <v>132</v>
      </c>
      <c r="C182" t="str">
        <f>_xlfn.XLOOKUP(B182,antibiotic_code_map!$A$2:$A$10055,antibiotic_code_map!$B$2:$B$10055)</f>
        <v>KAN</v>
      </c>
    </row>
    <row r="183" spans="1:3" x14ac:dyDescent="0.2">
      <c r="A183" t="s">
        <v>422</v>
      </c>
      <c r="B183" t="s">
        <v>164</v>
      </c>
      <c r="C183" t="str">
        <f>_xlfn.XLOOKUP(B183,antibiotic_code_map!$A$2:$A$10055,antibiotic_code_map!$B$2:$B$10055)</f>
        <v>NYT</v>
      </c>
    </row>
    <row r="184" spans="1:3" x14ac:dyDescent="0.2">
      <c r="A184" t="s">
        <v>423</v>
      </c>
      <c r="B184" t="s">
        <v>120</v>
      </c>
      <c r="C184" t="str">
        <f>_xlfn.XLOOKUP(B184,antibiotic_code_map!$A$2:$A$10055,antibiotic_code_map!$B$2:$B$10055)</f>
        <v>GRF</v>
      </c>
    </row>
    <row r="185" spans="1:3" x14ac:dyDescent="0.2">
      <c r="A185" t="s">
        <v>424</v>
      </c>
      <c r="B185" t="s">
        <v>76</v>
      </c>
      <c r="C185" t="str">
        <f>_xlfn.XLOOKUP(B185,antibiotic_code_map!$A$2:$A$10055,antibiotic_code_map!$B$2:$B$10055)</f>
        <v>CTX</v>
      </c>
    </row>
    <row r="186" spans="1:3" x14ac:dyDescent="0.2">
      <c r="A186" t="s">
        <v>425</v>
      </c>
      <c r="B186" t="s">
        <v>158</v>
      </c>
      <c r="C186" t="str">
        <f>_xlfn.XLOOKUP(B186,antibiotic_code_map!$A$2:$A$10055,antibiotic_code_map!$B$2:$B$10055)</f>
        <v>NAT</v>
      </c>
    </row>
    <row r="187" spans="1:3" x14ac:dyDescent="0.2">
      <c r="A187" t="s">
        <v>426</v>
      </c>
      <c r="B187" t="s">
        <v>65</v>
      </c>
      <c r="C187" t="str">
        <f>_xlfn.XLOOKUP(B187,antibiotic_code_map!$A$2:$A$10055,antibiotic_code_map!$B$2:$B$10055)</f>
        <v>CLT</v>
      </c>
    </row>
    <row r="188" spans="1:3" x14ac:dyDescent="0.2">
      <c r="A188" t="s">
        <v>298</v>
      </c>
      <c r="B188" t="s">
        <v>236</v>
      </c>
      <c r="C188" t="str">
        <f>_xlfn.XLOOKUP(B188,antibiotic_code_map!$A$2:$A$10055,antibiotic_code_map!$B$2:$B$10055)</f>
        <v>ICR</v>
      </c>
    </row>
    <row r="189" spans="1:3" x14ac:dyDescent="0.2">
      <c r="A189" t="s">
        <v>427</v>
      </c>
      <c r="B189" t="s">
        <v>250</v>
      </c>
      <c r="C189" t="str">
        <f>_xlfn.XLOOKUP(B189,antibiotic_code_map!$A$2:$A$10055,antibiotic_code_map!$B$2:$B$10055)</f>
        <v>NAL</v>
      </c>
    </row>
    <row r="190" spans="1:3" x14ac:dyDescent="0.2">
      <c r="A190" t="s">
        <v>428</v>
      </c>
      <c r="B190" t="s">
        <v>249</v>
      </c>
      <c r="C190" t="str">
        <f>_xlfn.XLOOKUP(B190,antibiotic_code_map!$A$2:$A$10055,antibiotic_code_map!$B$2:$B$10055)</f>
        <v>CZX</v>
      </c>
    </row>
    <row r="191" spans="1:3" x14ac:dyDescent="0.2">
      <c r="A191" t="s">
        <v>429</v>
      </c>
      <c r="B191" t="s">
        <v>214</v>
      </c>
      <c r="C191" t="str">
        <f>_xlfn.XLOOKUP(B191,antibiotic_code_map!$A$2:$A$10055,antibiotic_code_map!$B$2:$B$10055)</f>
        <v>TOL_TAZ</v>
      </c>
    </row>
    <row r="192" spans="1:3" x14ac:dyDescent="0.2">
      <c r="A192" t="s">
        <v>595</v>
      </c>
      <c r="B192" t="s">
        <v>597</v>
      </c>
      <c r="C192" t="str">
        <f>_xlfn.XLOOKUP(B192,antibiotic_code_map!$A$2:$A$10055,antibiotic_code_map!$B$2:$B$10055)</f>
        <v>CFP</v>
      </c>
    </row>
    <row r="193" spans="1:3" x14ac:dyDescent="0.2">
      <c r="A193" t="s">
        <v>430</v>
      </c>
      <c r="B193" t="s">
        <v>76</v>
      </c>
      <c r="C193" t="str">
        <f>_xlfn.XLOOKUP(B193,antibiotic_code_map!$A$2:$A$10055,antibiotic_code_map!$B$2:$B$10055)</f>
        <v>CTX</v>
      </c>
    </row>
    <row r="194" spans="1:3" x14ac:dyDescent="0.2">
      <c r="A194" t="s">
        <v>431</v>
      </c>
      <c r="B194" t="s">
        <v>71</v>
      </c>
      <c r="C194" t="str">
        <f>_xlfn.XLOOKUP(B194,antibiotic_code_map!$A$2:$A$10055,antibiotic_code_map!$B$2:$B$10055)</f>
        <v>CRO</v>
      </c>
    </row>
    <row r="195" spans="1:3" x14ac:dyDescent="0.2">
      <c r="A195" t="s">
        <v>432</v>
      </c>
      <c r="B195" t="s">
        <v>251</v>
      </c>
      <c r="C195" t="str">
        <f>_xlfn.XLOOKUP(B195,antibiotic_code_map!$A$2:$A$10055,antibiotic_code_map!$B$2:$B$10055)</f>
        <v>FA</v>
      </c>
    </row>
    <row r="196" spans="1:3" x14ac:dyDescent="0.2">
      <c r="A196" t="s">
        <v>433</v>
      </c>
      <c r="B196" t="s">
        <v>193</v>
      </c>
      <c r="C196" t="str">
        <f>_xlfn.XLOOKUP(B196,antibiotic_code_map!$A$2:$A$10055,antibiotic_code_map!$B$2:$B$10055)</f>
        <v>STR</v>
      </c>
    </row>
    <row r="197" spans="1:3" x14ac:dyDescent="0.2">
      <c r="A197" t="s">
        <v>434</v>
      </c>
      <c r="B197" t="s">
        <v>15</v>
      </c>
      <c r="C197" t="str">
        <f>_xlfn.XLOOKUP(B197,antibiotic_code_map!$A$2:$A$10055,antibiotic_code_map!$B$2:$B$10055)</f>
        <v>5FC</v>
      </c>
    </row>
    <row r="198" spans="1:3" x14ac:dyDescent="0.2">
      <c r="A198" t="s">
        <v>435</v>
      </c>
      <c r="B198" t="s">
        <v>23</v>
      </c>
      <c r="C198" t="str">
        <f>_xlfn.XLOOKUP(B198,antibiotic_code_map!$A$2:$A$10055,antibiotic_code_map!$B$2:$B$10055)</f>
        <v>AMK</v>
      </c>
    </row>
    <row r="199" spans="1:3" x14ac:dyDescent="0.2">
      <c r="A199" t="s">
        <v>436</v>
      </c>
      <c r="B199" t="s">
        <v>23</v>
      </c>
      <c r="C199" t="str">
        <f>_xlfn.XLOOKUP(B199,antibiotic_code_map!$A$2:$A$10055,antibiotic_code_map!$B$2:$B$10055)</f>
        <v>AMK</v>
      </c>
    </row>
    <row r="200" spans="1:3" x14ac:dyDescent="0.2">
      <c r="A200" t="s">
        <v>437</v>
      </c>
      <c r="B200" t="s">
        <v>19</v>
      </c>
      <c r="C200" t="str">
        <f>_xlfn.XLOOKUP(B200,antibiotic_code_map!$A$2:$A$10055,antibiotic_code_map!$B$2:$B$10055)</f>
        <v>AMB</v>
      </c>
    </row>
    <row r="201" spans="1:3" x14ac:dyDescent="0.2">
      <c r="A201" t="s">
        <v>438</v>
      </c>
      <c r="B201" t="s">
        <v>21</v>
      </c>
      <c r="C201" t="str">
        <f>_xlfn.XLOOKUP(B201,antibiotic_code_map!$A$2:$A$10055,antibiotic_code_map!$B$2:$B$10055)</f>
        <v>AMC</v>
      </c>
    </row>
    <row r="202" spans="1:3" x14ac:dyDescent="0.2">
      <c r="A202" t="s">
        <v>439</v>
      </c>
      <c r="B202" t="s">
        <v>546</v>
      </c>
      <c r="C202" t="str">
        <f>_xlfn.XLOOKUP(B202,antibiotic_code_map!$A$2:$A$10055,antibiotic_code_map!$B$2:$B$10055)</f>
        <v>AZL</v>
      </c>
    </row>
    <row r="203" spans="1:3" x14ac:dyDescent="0.2">
      <c r="A203" t="s">
        <v>440</v>
      </c>
      <c r="B203" t="s">
        <v>548</v>
      </c>
      <c r="C203" t="str">
        <f>_xlfn.XLOOKUP(B203,antibiotic_code_map!$A$2:$A$10055,antibiotic_code_map!$B$2:$B$10055)</f>
        <v>BAC</v>
      </c>
    </row>
    <row r="204" spans="1:3" x14ac:dyDescent="0.2">
      <c r="A204" t="s">
        <v>441</v>
      </c>
      <c r="B204" t="s">
        <v>224</v>
      </c>
      <c r="C204" t="str">
        <f>_xlfn.XLOOKUP(B204,antibiotic_code_map!$A$2:$A$10055,antibiotic_code_map!$B$2:$B$10055)</f>
        <v>BLAC</v>
      </c>
    </row>
    <row r="205" spans="1:3" x14ac:dyDescent="0.2">
      <c r="A205" t="s">
        <v>442</v>
      </c>
      <c r="B205" t="s">
        <v>224</v>
      </c>
      <c r="C205" t="str">
        <f>_xlfn.XLOOKUP(B205,antibiotic_code_map!$A$2:$A$10055,antibiotic_code_map!$B$2:$B$10055)</f>
        <v>BLAC</v>
      </c>
    </row>
    <row r="206" spans="1:3" x14ac:dyDescent="0.2">
      <c r="A206" t="s">
        <v>443</v>
      </c>
      <c r="B206" t="s">
        <v>38</v>
      </c>
      <c r="C206" t="str">
        <f>_xlfn.XLOOKUP(B206,antibiotic_code_map!$A$2:$A$10055,antibiotic_code_map!$B$2:$B$10055)</f>
        <v>CAP</v>
      </c>
    </row>
    <row r="207" spans="1:3" x14ac:dyDescent="0.2">
      <c r="A207" t="s">
        <v>444</v>
      </c>
      <c r="B207" t="s">
        <v>38</v>
      </c>
      <c r="C207" t="str">
        <f>_xlfn.XLOOKUP(B207,antibiotic_code_map!$A$2:$A$10055,antibiotic_code_map!$B$2:$B$10055)</f>
        <v>CAP</v>
      </c>
    </row>
    <row r="208" spans="1:3" x14ac:dyDescent="0.2">
      <c r="A208" t="s">
        <v>445</v>
      </c>
      <c r="B208" t="s">
        <v>38</v>
      </c>
      <c r="C208" t="str">
        <f>_xlfn.XLOOKUP(B208,antibiotic_code_map!$A$2:$A$10055,antibiotic_code_map!$B$2:$B$10055)</f>
        <v>CAP</v>
      </c>
    </row>
    <row r="209" spans="1:3" x14ac:dyDescent="0.2">
      <c r="A209" t="s">
        <v>446</v>
      </c>
      <c r="B209" t="s">
        <v>243</v>
      </c>
      <c r="C209" t="str">
        <f>_xlfn.XLOOKUP(B209,antibiotic_code_map!$A$2:$A$10055,antibiotic_code_map!$B$2:$B$10055)</f>
        <v>CARBA</v>
      </c>
    </row>
    <row r="210" spans="1:3" x14ac:dyDescent="0.2">
      <c r="A210" t="s">
        <v>447</v>
      </c>
      <c r="B210" t="s">
        <v>550</v>
      </c>
      <c r="C210" t="str">
        <f>_xlfn.XLOOKUP(B210,antibiotic_code_map!$A$2:$A$10055,antibiotic_code_map!$B$2:$B$10055)</f>
        <v>CRB</v>
      </c>
    </row>
    <row r="211" spans="1:3" x14ac:dyDescent="0.2">
      <c r="A211" t="s">
        <v>448</v>
      </c>
      <c r="B211" t="s">
        <v>106</v>
      </c>
      <c r="C211" t="str">
        <f>_xlfn.XLOOKUP(B211,antibiotic_code_map!$A$2:$A$10055,antibiotic_code_map!$B$2:$B$10055)</f>
        <v>FAM</v>
      </c>
    </row>
    <row r="212" spans="1:3" x14ac:dyDescent="0.2">
      <c r="A212" t="s">
        <v>449</v>
      </c>
      <c r="B212" t="s">
        <v>55</v>
      </c>
      <c r="C212" t="str">
        <f>_xlfn.XLOOKUP(B212,antibiotic_code_map!$A$2:$A$10055,antibiotic_code_map!$B$2:$B$10055)</f>
        <v>CFZ</v>
      </c>
    </row>
    <row r="213" spans="1:3" x14ac:dyDescent="0.2">
      <c r="A213" t="s">
        <v>450</v>
      </c>
      <c r="B213" t="s">
        <v>55</v>
      </c>
      <c r="C213" t="str">
        <f>_xlfn.XLOOKUP(B213,antibiotic_code_map!$A$2:$A$10055,antibiotic_code_map!$B$2:$B$10055)</f>
        <v>CFZ</v>
      </c>
    </row>
    <row r="214" spans="1:3" x14ac:dyDescent="0.2">
      <c r="A214" t="s">
        <v>451</v>
      </c>
      <c r="B214" t="s">
        <v>55</v>
      </c>
      <c r="C214" t="str">
        <f>_xlfn.XLOOKUP(B214,antibiotic_code_map!$A$2:$A$10055,antibiotic_code_map!$B$2:$B$10055)</f>
        <v>CFZ</v>
      </c>
    </row>
    <row r="215" spans="1:3" x14ac:dyDescent="0.2">
      <c r="A215" t="s">
        <v>452</v>
      </c>
      <c r="B215" t="s">
        <v>110</v>
      </c>
      <c r="C215" t="str">
        <f>_xlfn.XLOOKUP(B215,antibiotic_code_map!$A$2:$A$10055,antibiotic_code_map!$B$2:$B$10055)</f>
        <v>FEP</v>
      </c>
    </row>
    <row r="216" spans="1:3" x14ac:dyDescent="0.2">
      <c r="A216" t="s">
        <v>453</v>
      </c>
      <c r="B216" t="s">
        <v>552</v>
      </c>
      <c r="C216" t="str">
        <f>_xlfn.XLOOKUP(B216,antibiotic_code_map!$A$2:$A$10055,antibiotic_code_map!$B$2:$B$10055)</f>
        <v>CID</v>
      </c>
    </row>
    <row r="217" spans="1:3" x14ac:dyDescent="0.2">
      <c r="A217" t="s">
        <v>454</v>
      </c>
      <c r="B217" t="s">
        <v>554</v>
      </c>
      <c r="C217" t="str">
        <f>_xlfn.XLOOKUP(B217,antibiotic_code_map!$A$2:$A$10055,antibiotic_code_map!$B$2:$B$10055)</f>
        <v>CND</v>
      </c>
    </row>
    <row r="218" spans="1:3" x14ac:dyDescent="0.2">
      <c r="A218" t="s">
        <v>455</v>
      </c>
      <c r="B218" t="s">
        <v>76</v>
      </c>
      <c r="C218" t="str">
        <f>_xlfn.XLOOKUP(B218,antibiotic_code_map!$A$2:$A$10055,antibiotic_code_map!$B$2:$B$10055)</f>
        <v>CTX</v>
      </c>
    </row>
    <row r="219" spans="1:3" x14ac:dyDescent="0.2">
      <c r="A219" t="s">
        <v>456</v>
      </c>
      <c r="B219" t="s">
        <v>76</v>
      </c>
      <c r="C219" t="str">
        <f>_xlfn.XLOOKUP(B219,antibiotic_code_map!$A$2:$A$10055,antibiotic_code_map!$B$2:$B$10055)</f>
        <v>CTX</v>
      </c>
    </row>
    <row r="220" spans="1:3" x14ac:dyDescent="0.2">
      <c r="A220" t="s">
        <v>457</v>
      </c>
      <c r="B220" t="s">
        <v>78</v>
      </c>
      <c r="C220" t="str">
        <f>_xlfn.XLOOKUP(B220,antibiotic_code_map!$A$2:$A$10055,antibiotic_code_map!$B$2:$B$10055)</f>
        <v>CTX_CLV</v>
      </c>
    </row>
    <row r="221" spans="1:3" x14ac:dyDescent="0.2">
      <c r="A221" t="s">
        <v>458</v>
      </c>
      <c r="B221" t="s">
        <v>556</v>
      </c>
      <c r="C221" t="str">
        <f>_xlfn.XLOOKUP(B221,antibiotic_code_map!$A$2:$A$10055,antibiotic_code_map!$B$2:$B$10055)</f>
        <v>CTF</v>
      </c>
    </row>
    <row r="222" spans="1:3" x14ac:dyDescent="0.2">
      <c r="A222" t="s">
        <v>459</v>
      </c>
      <c r="B222" t="s">
        <v>67</v>
      </c>
      <c r="C222" t="str">
        <f>_xlfn.XLOOKUP(B222,antibiotic_code_map!$A$2:$A$10055,antibiotic_code_map!$B$2:$B$10055)</f>
        <v>CPD</v>
      </c>
    </row>
    <row r="223" spans="1:3" x14ac:dyDescent="0.2">
      <c r="A223" t="s">
        <v>460</v>
      </c>
      <c r="B223" t="s">
        <v>45</v>
      </c>
      <c r="C223" t="str">
        <f>_xlfn.XLOOKUP(B223,antibiotic_code_map!$A$2:$A$10055,antibiotic_code_map!$B$2:$B$10055)</f>
        <v>CAZ_AVI</v>
      </c>
    </row>
    <row r="224" spans="1:3" x14ac:dyDescent="0.2">
      <c r="A224" t="s">
        <v>461</v>
      </c>
      <c r="B224" t="s">
        <v>47</v>
      </c>
      <c r="C224" t="str">
        <f>_xlfn.XLOOKUP(B224,antibiotic_code_map!$A$2:$A$10055,antibiotic_code_map!$B$2:$B$10055)</f>
        <v>CAZ_CLV</v>
      </c>
    </row>
    <row r="225" spans="1:3" x14ac:dyDescent="0.2">
      <c r="A225" t="s">
        <v>462</v>
      </c>
      <c r="B225" t="s">
        <v>71</v>
      </c>
      <c r="C225" t="str">
        <f>_xlfn.XLOOKUP(B225,antibiotic_code_map!$A$2:$A$10055,antibiotic_code_map!$B$2:$B$10055)</f>
        <v>CRO</v>
      </c>
    </row>
    <row r="226" spans="1:3" x14ac:dyDescent="0.2">
      <c r="A226" t="s">
        <v>463</v>
      </c>
      <c r="B226" t="s">
        <v>71</v>
      </c>
      <c r="C226" t="str">
        <f>_xlfn.XLOOKUP(B226,antibiotic_code_map!$A$2:$A$10055,antibiotic_code_map!$B$2:$B$10055)</f>
        <v>CRO</v>
      </c>
    </row>
    <row r="227" spans="1:3" x14ac:dyDescent="0.2">
      <c r="A227" t="s">
        <v>464</v>
      </c>
      <c r="B227" t="s">
        <v>80</v>
      </c>
      <c r="C227" t="str">
        <f>_xlfn.XLOOKUP(B227,antibiotic_code_map!$A$2:$A$10055,antibiotic_code_map!$B$2:$B$10055)</f>
        <v>CXM</v>
      </c>
    </row>
    <row r="228" spans="1:3" x14ac:dyDescent="0.2">
      <c r="A228" t="s">
        <v>465</v>
      </c>
      <c r="B228" t="s">
        <v>80</v>
      </c>
      <c r="C228" t="str">
        <f>_xlfn.XLOOKUP(B228,antibiotic_code_map!$A$2:$A$10055,antibiotic_code_map!$B$2:$B$10055)</f>
        <v>CXM</v>
      </c>
    </row>
    <row r="229" spans="1:3" x14ac:dyDescent="0.2">
      <c r="A229" t="s">
        <v>466</v>
      </c>
      <c r="B229" t="s">
        <v>558</v>
      </c>
      <c r="C229" t="str">
        <f>_xlfn.XLOOKUP(B229,antibiotic_code_map!$A$2:$A$10055,antibiotic_code_map!$B$2:$B$10055)</f>
        <v>LEX</v>
      </c>
    </row>
    <row r="230" spans="1:3" x14ac:dyDescent="0.2">
      <c r="A230" t="s">
        <v>467</v>
      </c>
      <c r="B230" t="s">
        <v>560</v>
      </c>
      <c r="C230" t="str">
        <f>_xlfn.XLOOKUP(B230,antibiotic_code_map!$A$2:$A$10055,antibiotic_code_map!$B$2:$B$10055)</f>
        <v>CED</v>
      </c>
    </row>
    <row r="231" spans="1:3" x14ac:dyDescent="0.2">
      <c r="A231" t="s">
        <v>468</v>
      </c>
      <c r="B231" t="s">
        <v>1</v>
      </c>
      <c r="C231" t="str">
        <f>_xlfn.XLOOKUP(B231,antibiotic_code_map!$A$2:$A$10055,antibiotic_code_map!$B$2:$B$10055)</f>
        <v>CIP</v>
      </c>
    </row>
    <row r="232" spans="1:3" x14ac:dyDescent="0.2">
      <c r="A232" t="s">
        <v>469</v>
      </c>
      <c r="B232" t="s">
        <v>63</v>
      </c>
      <c r="C232" t="str">
        <f>_xlfn.XLOOKUP(B232,antibiotic_code_map!$A$2:$A$10055,antibiotic_code_map!$B$2:$B$10055)</f>
        <v>CLR</v>
      </c>
    </row>
    <row r="233" spans="1:3" x14ac:dyDescent="0.2">
      <c r="A233" t="s">
        <v>470</v>
      </c>
      <c r="B233" t="s">
        <v>63</v>
      </c>
      <c r="C233" t="str">
        <f>_xlfn.XLOOKUP(B233,antibiotic_code_map!$A$2:$A$10055,antibiotic_code_map!$B$2:$B$10055)</f>
        <v>CLR</v>
      </c>
    </row>
    <row r="234" spans="1:3" x14ac:dyDescent="0.2">
      <c r="A234" t="s">
        <v>471</v>
      </c>
      <c r="B234" t="s">
        <v>63</v>
      </c>
      <c r="C234" t="str">
        <f>_xlfn.XLOOKUP(B234,antibiotic_code_map!$A$2:$A$10055,antibiotic_code_map!$B$2:$B$10055)</f>
        <v>CLR</v>
      </c>
    </row>
    <row r="235" spans="1:3" x14ac:dyDescent="0.2">
      <c r="A235" t="s">
        <v>472</v>
      </c>
      <c r="B235" t="s">
        <v>562</v>
      </c>
      <c r="C235" t="str">
        <f>_xlfn.XLOOKUP(B235,antibiotic_code_map!$A$2:$A$10055,antibiotic_code_map!$B$2:$B$10055)</f>
        <v>CLX</v>
      </c>
    </row>
    <row r="236" spans="1:3" x14ac:dyDescent="0.2">
      <c r="A236" t="s">
        <v>473</v>
      </c>
      <c r="B236" t="s">
        <v>61</v>
      </c>
      <c r="C236" t="str">
        <f>_xlfn.XLOOKUP(B236,antibiotic_code_map!$A$2:$A$10055,antibiotic_code_map!$B$2:$B$10055)</f>
        <v>CLO</v>
      </c>
    </row>
    <row r="237" spans="1:3" x14ac:dyDescent="0.2">
      <c r="A237" t="s">
        <v>474</v>
      </c>
      <c r="B237" t="s">
        <v>61</v>
      </c>
      <c r="C237" t="str">
        <f>_xlfn.XLOOKUP(B237,antibiotic_code_map!$A$2:$A$10055,antibiotic_code_map!$B$2:$B$10055)</f>
        <v>CLO</v>
      </c>
    </row>
    <row r="238" spans="1:3" x14ac:dyDescent="0.2">
      <c r="A238" t="s">
        <v>475</v>
      </c>
      <c r="B238" t="s">
        <v>243</v>
      </c>
      <c r="C238" t="str">
        <f>_xlfn.XLOOKUP(B238,antibiotic_code_map!$A$2:$A$10055,antibiotic_code_map!$B$2:$B$10055)</f>
        <v>CARBA</v>
      </c>
    </row>
    <row r="239" spans="1:3" x14ac:dyDescent="0.2">
      <c r="A239" t="s">
        <v>476</v>
      </c>
      <c r="B239" t="s">
        <v>84</v>
      </c>
      <c r="C239" t="str">
        <f>_xlfn.XLOOKUP(B239,antibiotic_code_map!$A$2:$A$10055,antibiotic_code_map!$B$2:$B$10055)</f>
        <v>DCS</v>
      </c>
    </row>
    <row r="240" spans="1:3" x14ac:dyDescent="0.2">
      <c r="A240" t="s">
        <v>477</v>
      </c>
      <c r="B240" t="s">
        <v>84</v>
      </c>
      <c r="C240" t="str">
        <f>_xlfn.XLOOKUP(B240,antibiotic_code_map!$A$2:$A$10055,antibiotic_code_map!$B$2:$B$10055)</f>
        <v>DCS</v>
      </c>
    </row>
    <row r="241" spans="1:3" x14ac:dyDescent="0.2">
      <c r="A241" t="s">
        <v>478</v>
      </c>
      <c r="B241" t="s">
        <v>4</v>
      </c>
      <c r="C241" t="str">
        <f>_xlfn.XLOOKUP(B241,antibiotic_code_map!$A$2:$A$10055,antibiotic_code_map!$B$2:$B$10055)</f>
        <v>CLI</v>
      </c>
    </row>
    <row r="242" spans="1:3" x14ac:dyDescent="0.2">
      <c r="A242" t="s">
        <v>479</v>
      </c>
      <c r="B242" t="s">
        <v>545</v>
      </c>
      <c r="C242" t="str">
        <f>_xlfn.XLOOKUP(B242,antibiotic_code_map!$A$2:$A$10055,antibiotic_code_map!$B$2:$B$10055)</f>
        <v>DAL</v>
      </c>
    </row>
    <row r="243" spans="1:3" x14ac:dyDescent="0.2">
      <c r="A243" t="s">
        <v>480</v>
      </c>
      <c r="B243" t="s">
        <v>565</v>
      </c>
      <c r="C243" t="str">
        <f>_xlfn.XLOOKUP(B243,antibiotic_code_map!$A$2:$A$10055,antibiotic_code_map!$B$2:$B$10055)</f>
        <v>DIC</v>
      </c>
    </row>
    <row r="244" spans="1:3" x14ac:dyDescent="0.2">
      <c r="A244" t="s">
        <v>99</v>
      </c>
      <c r="B244" t="s">
        <v>244</v>
      </c>
      <c r="C244" t="str">
        <f>_xlfn.XLOOKUP(B244,antibiotic_code_map!$A$2:$A$10055,antibiotic_code_map!$B$2:$B$10055)</f>
        <v>ESBL</v>
      </c>
    </row>
    <row r="245" spans="1:3" x14ac:dyDescent="0.2">
      <c r="A245" t="s">
        <v>481</v>
      </c>
      <c r="B245" t="s">
        <v>244</v>
      </c>
      <c r="C245" t="str">
        <f>_xlfn.XLOOKUP(B245,antibiotic_code_map!$A$2:$A$10055,antibiotic_code_map!$B$2:$B$10055)</f>
        <v>ESBL</v>
      </c>
    </row>
    <row r="246" spans="1:3" x14ac:dyDescent="0.2">
      <c r="A246" t="s">
        <v>482</v>
      </c>
      <c r="B246" t="s">
        <v>94</v>
      </c>
      <c r="C246" t="str">
        <f>_xlfn.XLOOKUP(B246,antibiotic_code_map!$A$2:$A$10055,antibiotic_code_map!$B$2:$B$10055)</f>
        <v>EMB_RIF</v>
      </c>
    </row>
    <row r="247" spans="1:3" x14ac:dyDescent="0.2">
      <c r="A247" t="s">
        <v>483</v>
      </c>
      <c r="B247" t="s">
        <v>92</v>
      </c>
      <c r="C247" t="str">
        <f>_xlfn.XLOOKUP(B247,antibiotic_code_map!$A$2:$A$10055,antibiotic_code_map!$B$2:$B$10055)</f>
        <v>EMB</v>
      </c>
    </row>
    <row r="248" spans="1:3" x14ac:dyDescent="0.2">
      <c r="A248" t="s">
        <v>484</v>
      </c>
      <c r="B248" t="s">
        <v>92</v>
      </c>
      <c r="C248" t="str">
        <f>_xlfn.XLOOKUP(B248,antibiotic_code_map!$A$2:$A$10055,antibiotic_code_map!$B$2:$B$10055)</f>
        <v>EMB</v>
      </c>
    </row>
    <row r="249" spans="1:3" x14ac:dyDescent="0.2">
      <c r="A249" t="s">
        <v>485</v>
      </c>
      <c r="B249" t="s">
        <v>92</v>
      </c>
      <c r="C249" t="str">
        <f>_xlfn.XLOOKUP(B249,antibiotic_code_map!$A$2:$A$10055,antibiotic_code_map!$B$2:$B$10055)</f>
        <v>EMB</v>
      </c>
    </row>
    <row r="250" spans="1:3" x14ac:dyDescent="0.2">
      <c r="A250" t="s">
        <v>486</v>
      </c>
      <c r="B250" t="s">
        <v>101</v>
      </c>
      <c r="C250" t="str">
        <f>_xlfn.XLOOKUP(B250,antibiotic_code_map!$A$2:$A$10055,antibiotic_code_map!$B$2:$B$10055)</f>
        <v>ETO</v>
      </c>
    </row>
    <row r="251" spans="1:3" x14ac:dyDescent="0.2">
      <c r="A251" t="s">
        <v>487</v>
      </c>
      <c r="B251" t="s">
        <v>101</v>
      </c>
      <c r="C251" t="str">
        <f>_xlfn.XLOOKUP(B251,antibiotic_code_map!$A$2:$A$10055,antibiotic_code_map!$B$2:$B$10055)</f>
        <v>ETO</v>
      </c>
    </row>
    <row r="252" spans="1:3" x14ac:dyDescent="0.2">
      <c r="A252" t="s">
        <v>488</v>
      </c>
      <c r="B252" t="s">
        <v>101</v>
      </c>
      <c r="C252" t="str">
        <f>_xlfn.XLOOKUP(B252,antibiotic_code_map!$A$2:$A$10055,antibiotic_code_map!$B$2:$B$10055)</f>
        <v>ETO</v>
      </c>
    </row>
    <row r="253" spans="1:3" x14ac:dyDescent="0.2">
      <c r="A253" t="s">
        <v>489</v>
      </c>
      <c r="B253" t="s">
        <v>112</v>
      </c>
      <c r="C253" t="str">
        <f>_xlfn.XLOOKUP(B253,antibiotic_code_map!$A$2:$A$10055,antibiotic_code_map!$B$2:$B$10055)</f>
        <v>FLC</v>
      </c>
    </row>
    <row r="254" spans="1:3" x14ac:dyDescent="0.2">
      <c r="A254" t="s">
        <v>490</v>
      </c>
      <c r="B254" t="s">
        <v>117</v>
      </c>
      <c r="C254" t="str">
        <f>_xlfn.XLOOKUP(B254,antibiotic_code_map!$A$2:$A$10055,antibiotic_code_map!$B$2:$B$10055)</f>
        <v>GAT</v>
      </c>
    </row>
    <row r="255" spans="1:3" x14ac:dyDescent="0.2">
      <c r="A255" t="s">
        <v>491</v>
      </c>
      <c r="B255" t="s">
        <v>5</v>
      </c>
      <c r="C255" t="str">
        <f>_xlfn.XLOOKUP(B255,antibiotic_code_map!$A$2:$A$10055,antibiotic_code_map!$B$2:$B$10055)</f>
        <v>GEN</v>
      </c>
    </row>
    <row r="256" spans="1:3" x14ac:dyDescent="0.2">
      <c r="A256" t="s">
        <v>492</v>
      </c>
      <c r="B256" t="s">
        <v>5</v>
      </c>
      <c r="C256" t="str">
        <f>_xlfn.XLOOKUP(B256,antibiotic_code_map!$A$2:$A$10055,antibiotic_code_map!$B$2:$B$10055)</f>
        <v>GEN</v>
      </c>
    </row>
    <row r="257" spans="1:3" x14ac:dyDescent="0.2">
      <c r="A257" t="s">
        <v>493</v>
      </c>
      <c r="B257" t="s">
        <v>5</v>
      </c>
      <c r="C257" t="str">
        <f>_xlfn.XLOOKUP(B257,antibiotic_code_map!$A$2:$A$10055,antibiotic_code_map!$B$2:$B$10055)</f>
        <v>GEN</v>
      </c>
    </row>
    <row r="258" spans="1:3" x14ac:dyDescent="0.2">
      <c r="A258" t="s">
        <v>494</v>
      </c>
      <c r="B258" t="s">
        <v>126</v>
      </c>
      <c r="C258" t="str">
        <f>_xlfn.XLOOKUP(B258,antibiotic_code_map!$A$2:$A$10055,antibiotic_code_map!$B$2:$B$10055)</f>
        <v>IPM_REL</v>
      </c>
    </row>
    <row r="259" spans="1:3" x14ac:dyDescent="0.2">
      <c r="A259" t="s">
        <v>495</v>
      </c>
      <c r="B259" t="s">
        <v>241</v>
      </c>
      <c r="C259" t="str">
        <f>_xlfn.XLOOKUP(B259,antibiotic_code_map!$A$2:$A$10055,antibiotic_code_map!$B$2:$B$10055)</f>
        <v>CARBA</v>
      </c>
    </row>
    <row r="260" spans="1:3" x14ac:dyDescent="0.2">
      <c r="A260" t="s">
        <v>496</v>
      </c>
      <c r="B260" t="s">
        <v>123</v>
      </c>
      <c r="C260" t="str">
        <f>_xlfn.XLOOKUP(B260,antibiotic_code_map!$A$2:$A$10055,antibiotic_code_map!$B$2:$B$10055)</f>
        <v>INH</v>
      </c>
    </row>
    <row r="261" spans="1:3" x14ac:dyDescent="0.2">
      <c r="A261" t="s">
        <v>497</v>
      </c>
      <c r="B261" t="s">
        <v>123</v>
      </c>
      <c r="C261" t="str">
        <f>_xlfn.XLOOKUP(B261,antibiotic_code_map!$A$2:$A$10055,antibiotic_code_map!$B$2:$B$10055)</f>
        <v>INH</v>
      </c>
    </row>
    <row r="262" spans="1:3" x14ac:dyDescent="0.2">
      <c r="A262" t="s">
        <v>498</v>
      </c>
      <c r="B262" t="s">
        <v>123</v>
      </c>
      <c r="C262" t="str">
        <f>_xlfn.XLOOKUP(B262,antibiotic_code_map!$A$2:$A$10055,antibiotic_code_map!$B$2:$B$10055)</f>
        <v>INH</v>
      </c>
    </row>
    <row r="263" spans="1:3" x14ac:dyDescent="0.2">
      <c r="A263" t="s">
        <v>499</v>
      </c>
      <c r="B263" t="s">
        <v>128</v>
      </c>
      <c r="C263" t="str">
        <f>_xlfn.XLOOKUP(B263,antibiotic_code_map!$A$2:$A$10055,antibiotic_code_map!$B$2:$B$10055)</f>
        <v>ISA</v>
      </c>
    </row>
    <row r="264" spans="1:3" x14ac:dyDescent="0.2">
      <c r="A264" t="s">
        <v>500</v>
      </c>
      <c r="B264" t="s">
        <v>132</v>
      </c>
      <c r="C264" t="str">
        <f>_xlfn.XLOOKUP(B264,antibiotic_code_map!$A$2:$A$10055,antibiotic_code_map!$B$2:$B$10055)</f>
        <v>KAN</v>
      </c>
    </row>
    <row r="265" spans="1:3" x14ac:dyDescent="0.2">
      <c r="A265" t="s">
        <v>501</v>
      </c>
      <c r="B265" t="s">
        <v>247</v>
      </c>
      <c r="C265" t="str">
        <f>_xlfn.XLOOKUP(B265,antibiotic_code_map!$A$2:$A$10055,antibiotic_code_map!$B$2:$B$10055)</f>
        <v>CARBA</v>
      </c>
    </row>
    <row r="266" spans="1:3" x14ac:dyDescent="0.2">
      <c r="A266" t="s">
        <v>502</v>
      </c>
      <c r="B266" t="s">
        <v>567</v>
      </c>
      <c r="C266" t="str">
        <f>_xlfn.XLOOKUP(B266,antibiotic_code_map!$A$2:$A$10055,antibiotic_code_map!$B$2:$B$10055)</f>
        <v>LOM</v>
      </c>
    </row>
    <row r="267" spans="1:3" x14ac:dyDescent="0.2">
      <c r="A267" t="s">
        <v>503</v>
      </c>
      <c r="B267" t="s">
        <v>147</v>
      </c>
      <c r="C267" t="str">
        <f>_xlfn.XLOOKUP(B267,antibiotic_code_map!$A$2:$A$10055,antibiotic_code_map!$B$2:$B$10055)</f>
        <v>MEM_VAB</v>
      </c>
    </row>
    <row r="268" spans="1:3" x14ac:dyDescent="0.2">
      <c r="A268" t="s">
        <v>504</v>
      </c>
      <c r="B268" t="s">
        <v>569</v>
      </c>
      <c r="C268" t="str">
        <f>_xlfn.XLOOKUP(B268,antibiotic_code_map!$A$2:$A$10055,antibiotic_code_map!$B$2:$B$10055)</f>
        <v>MEZ</v>
      </c>
    </row>
    <row r="269" spans="1:3" x14ac:dyDescent="0.2">
      <c r="A269" t="s">
        <v>505</v>
      </c>
      <c r="B269" t="s">
        <v>571</v>
      </c>
      <c r="C269" t="str">
        <f>_xlfn.XLOOKUP(B269,antibiotic_code_map!$A$2:$A$10055,antibiotic_code_map!$B$2:$B$10055)</f>
        <v>MOX</v>
      </c>
    </row>
    <row r="270" spans="1:3" x14ac:dyDescent="0.2">
      <c r="A270" t="s">
        <v>506</v>
      </c>
      <c r="B270" t="s">
        <v>573</v>
      </c>
      <c r="C270" t="str">
        <f>_xlfn.XLOOKUP(B270,antibiotic_code_map!$A$2:$A$10055,antibiotic_code_map!$B$2:$B$10055)</f>
        <v>MUP</v>
      </c>
    </row>
    <row r="271" spans="1:3" x14ac:dyDescent="0.2">
      <c r="A271" t="s">
        <v>507</v>
      </c>
      <c r="B271" t="s">
        <v>573</v>
      </c>
      <c r="C271" t="str">
        <f>_xlfn.XLOOKUP(B271,antibiotic_code_map!$A$2:$A$10055,antibiotic_code_map!$B$2:$B$10055)</f>
        <v>MUP</v>
      </c>
    </row>
    <row r="272" spans="1:3" x14ac:dyDescent="0.2">
      <c r="A272" t="s">
        <v>508</v>
      </c>
      <c r="B272" t="s">
        <v>575</v>
      </c>
      <c r="C272" t="str">
        <f>_xlfn.XLOOKUP(B272,antibiotic_code_map!$A$2:$A$10055,antibiotic_code_map!$B$2:$B$10055)</f>
        <v>NAF</v>
      </c>
    </row>
    <row r="273" spans="1:3" x14ac:dyDescent="0.2">
      <c r="A273" t="s">
        <v>509</v>
      </c>
      <c r="B273" t="s">
        <v>242</v>
      </c>
      <c r="C273" t="str">
        <f>_xlfn.XLOOKUP(B273,antibiotic_code_map!$A$2:$A$10055,antibiotic_code_map!$B$2:$B$10055)</f>
        <v>CARBA</v>
      </c>
    </row>
    <row r="274" spans="1:3" x14ac:dyDescent="0.2">
      <c r="A274" t="s">
        <v>510</v>
      </c>
      <c r="B274" t="s">
        <v>577</v>
      </c>
      <c r="C274" t="str">
        <f>_xlfn.XLOOKUP(B274,antibiotic_code_map!$A$2:$A$10055,antibiotic_code_map!$B$2:$B$10055)</f>
        <v>NEO</v>
      </c>
    </row>
    <row r="275" spans="1:3" x14ac:dyDescent="0.2">
      <c r="A275" t="s">
        <v>511</v>
      </c>
      <c r="B275" t="s">
        <v>579</v>
      </c>
      <c r="C275" t="str">
        <f>_xlfn.XLOOKUP(B275,antibiotic_code_map!$A$2:$A$10055,antibiotic_code_map!$B$2:$B$10055)</f>
        <v>NET</v>
      </c>
    </row>
    <row r="276" spans="1:3" x14ac:dyDescent="0.2">
      <c r="A276" t="s">
        <v>512</v>
      </c>
      <c r="B276" t="s">
        <v>166</v>
      </c>
      <c r="C276" t="str">
        <f>_xlfn.XLOOKUP(B276,antibiotic_code_map!$A$2:$A$10055,antibiotic_code_map!$B$2:$B$10055)</f>
        <v>OFX</v>
      </c>
    </row>
    <row r="277" spans="1:3" x14ac:dyDescent="0.2">
      <c r="A277" t="s">
        <v>513</v>
      </c>
      <c r="B277" t="s">
        <v>239</v>
      </c>
      <c r="C277" t="str">
        <f>_xlfn.XLOOKUP(B277,antibiotic_code_map!$A$2:$A$10055,antibiotic_code_map!$B$2:$B$10055)</f>
        <v>CARBA</v>
      </c>
    </row>
    <row r="278" spans="1:3" x14ac:dyDescent="0.2">
      <c r="A278" t="s">
        <v>514</v>
      </c>
      <c r="B278" t="s">
        <v>170</v>
      </c>
      <c r="C278" t="str">
        <f>_xlfn.XLOOKUP(B278,antibiotic_code_map!$A$2:$A$10055,antibiotic_code_map!$B$2:$B$10055)</f>
        <v>OXA</v>
      </c>
    </row>
    <row r="279" spans="1:3" x14ac:dyDescent="0.2">
      <c r="A279" t="s">
        <v>515</v>
      </c>
      <c r="B279" t="s">
        <v>170</v>
      </c>
      <c r="C279" t="str">
        <f>_xlfn.XLOOKUP(B279,antibiotic_code_map!$A$2:$A$10055,antibiotic_code_map!$B$2:$B$10055)</f>
        <v>OXA</v>
      </c>
    </row>
    <row r="280" spans="1:3" x14ac:dyDescent="0.2">
      <c r="A280" t="s">
        <v>516</v>
      </c>
      <c r="B280" t="s">
        <v>581</v>
      </c>
      <c r="C280" t="str">
        <f>_xlfn.XLOOKUP(B280,antibiotic_code_map!$A$2:$A$10055,antibiotic_code_map!$B$2:$B$10055)</f>
        <v>PAS</v>
      </c>
    </row>
    <row r="281" spans="1:3" x14ac:dyDescent="0.2">
      <c r="A281" t="s">
        <v>517</v>
      </c>
      <c r="B281" t="s">
        <v>581</v>
      </c>
      <c r="C281" t="str">
        <f>_xlfn.XLOOKUP(B281,antibiotic_code_map!$A$2:$A$10055,antibiotic_code_map!$B$2:$B$10055)</f>
        <v>PAS</v>
      </c>
    </row>
    <row r="282" spans="1:3" x14ac:dyDescent="0.2">
      <c r="A282" t="s">
        <v>518</v>
      </c>
      <c r="B282" t="s">
        <v>172</v>
      </c>
      <c r="C282" t="str">
        <f>_xlfn.XLOOKUP(B282,antibiotic_code_map!$A$2:$A$10055,antibiotic_code_map!$B$2:$B$10055)</f>
        <v>PEN</v>
      </c>
    </row>
    <row r="283" spans="1:3" x14ac:dyDescent="0.2">
      <c r="A283" t="s">
        <v>519</v>
      </c>
      <c r="B283" t="s">
        <v>172</v>
      </c>
      <c r="C283" t="str">
        <f>_xlfn.XLOOKUP(B283,antibiotic_code_map!$A$2:$A$10055,antibiotic_code_map!$B$2:$B$10055)</f>
        <v>PEN</v>
      </c>
    </row>
    <row r="284" spans="1:3" x14ac:dyDescent="0.2">
      <c r="A284" t="s">
        <v>520</v>
      </c>
      <c r="B284" t="s">
        <v>220</v>
      </c>
      <c r="C284" t="str">
        <f>_xlfn.XLOOKUP(B284,antibiotic_code_map!$A$2:$A$10055,antibiotic_code_map!$B$2:$B$10055)</f>
        <v>TZP</v>
      </c>
    </row>
    <row r="285" spans="1:3" x14ac:dyDescent="0.2">
      <c r="A285" t="s">
        <v>521</v>
      </c>
      <c r="B285" t="s">
        <v>183</v>
      </c>
      <c r="C285" t="str">
        <f>_xlfn.XLOOKUP(B285,antibiotic_code_map!$A$2:$A$10055,antibiotic_code_map!$B$2:$B$10055)</f>
        <v>QUD</v>
      </c>
    </row>
    <row r="286" spans="1:3" x14ac:dyDescent="0.2">
      <c r="A286" t="s">
        <v>522</v>
      </c>
      <c r="B286" t="s">
        <v>187</v>
      </c>
      <c r="C286" t="str">
        <f>_xlfn.XLOOKUP(B286,antibiotic_code_map!$A$2:$A$10055,antibiotic_code_map!$B$2:$B$10055)</f>
        <v>RIF</v>
      </c>
    </row>
    <row r="287" spans="1:3" x14ac:dyDescent="0.2">
      <c r="A287" t="s">
        <v>523</v>
      </c>
      <c r="B287" t="s">
        <v>94</v>
      </c>
      <c r="C287" t="str">
        <f>_xlfn.XLOOKUP(B287,antibiotic_code_map!$A$2:$A$10055,antibiotic_code_map!$B$2:$B$10055)</f>
        <v>EMB_RIF</v>
      </c>
    </row>
    <row r="288" spans="1:3" x14ac:dyDescent="0.2">
      <c r="A288" t="s">
        <v>524</v>
      </c>
      <c r="B288" t="s">
        <v>187</v>
      </c>
      <c r="C288" t="str">
        <f>_xlfn.XLOOKUP(B288,antibiotic_code_map!$A$2:$A$10055,antibiotic_code_map!$B$2:$B$10055)</f>
        <v>RIF</v>
      </c>
    </row>
    <row r="289" spans="1:3" x14ac:dyDescent="0.2">
      <c r="A289" t="s">
        <v>525</v>
      </c>
      <c r="B289" t="s">
        <v>187</v>
      </c>
      <c r="C289" t="str">
        <f>_xlfn.XLOOKUP(B289,antibiotic_code_map!$A$2:$A$10055,antibiotic_code_map!$B$2:$B$10055)</f>
        <v>RIF</v>
      </c>
    </row>
    <row r="290" spans="1:3" x14ac:dyDescent="0.2">
      <c r="A290" t="s">
        <v>526</v>
      </c>
      <c r="B290" t="s">
        <v>583</v>
      </c>
      <c r="C290" t="str">
        <f>_xlfn.XLOOKUP(B290,antibiotic_code_map!$A$2:$A$10055,antibiotic_code_map!$B$2:$B$10055)</f>
        <v>SPX</v>
      </c>
    </row>
    <row r="291" spans="1:3" x14ac:dyDescent="0.2">
      <c r="A291" t="s">
        <v>527</v>
      </c>
      <c r="B291" t="s">
        <v>193</v>
      </c>
      <c r="C291" t="str">
        <f>_xlfn.XLOOKUP(B291,antibiotic_code_map!$A$2:$A$10055,antibiotic_code_map!$B$2:$B$10055)</f>
        <v>STR</v>
      </c>
    </row>
    <row r="292" spans="1:3" x14ac:dyDescent="0.2">
      <c r="A292" t="s">
        <v>528</v>
      </c>
      <c r="B292" t="s">
        <v>193</v>
      </c>
      <c r="C292" t="str">
        <f>_xlfn.XLOOKUP(B292,antibiotic_code_map!$A$2:$A$10055,antibiotic_code_map!$B$2:$B$10055)</f>
        <v>STR</v>
      </c>
    </row>
    <row r="293" spans="1:3" x14ac:dyDescent="0.2">
      <c r="A293" t="s">
        <v>529</v>
      </c>
      <c r="B293" t="s">
        <v>193</v>
      </c>
      <c r="C293" t="str">
        <f>_xlfn.XLOOKUP(B293,antibiotic_code_map!$A$2:$A$10055,antibiotic_code_map!$B$2:$B$10055)</f>
        <v>STR</v>
      </c>
    </row>
    <row r="294" spans="1:3" x14ac:dyDescent="0.2">
      <c r="A294" t="s">
        <v>530</v>
      </c>
      <c r="B294" t="s">
        <v>193</v>
      </c>
      <c r="C294" t="str">
        <f>_xlfn.XLOOKUP(B294,antibiotic_code_map!$A$2:$A$10055,antibiotic_code_map!$B$2:$B$10055)</f>
        <v>STR</v>
      </c>
    </row>
    <row r="295" spans="1:3" x14ac:dyDescent="0.2">
      <c r="A295" t="s">
        <v>531</v>
      </c>
      <c r="B295" t="s">
        <v>193</v>
      </c>
      <c r="C295" t="str">
        <f>_xlfn.XLOOKUP(B295,antibiotic_code_map!$A$2:$A$10055,antibiotic_code_map!$B$2:$B$10055)</f>
        <v>STR</v>
      </c>
    </row>
    <row r="296" spans="1:3" x14ac:dyDescent="0.2">
      <c r="A296" t="s">
        <v>532</v>
      </c>
      <c r="B296" t="s">
        <v>193</v>
      </c>
      <c r="C296" t="str">
        <f>_xlfn.XLOOKUP(B296,antibiotic_code_map!$A$2:$A$10055,antibiotic_code_map!$B$2:$B$10055)</f>
        <v>STR</v>
      </c>
    </row>
    <row r="297" spans="1:3" x14ac:dyDescent="0.2">
      <c r="A297" t="s">
        <v>533</v>
      </c>
      <c r="B297" t="s">
        <v>193</v>
      </c>
      <c r="C297" t="str">
        <f>_xlfn.XLOOKUP(B297,antibiotic_code_map!$A$2:$A$10055,antibiotic_code_map!$B$2:$B$10055)</f>
        <v>STR</v>
      </c>
    </row>
    <row r="298" spans="1:3" x14ac:dyDescent="0.2">
      <c r="A298" t="s">
        <v>534</v>
      </c>
      <c r="B298" t="s">
        <v>195</v>
      </c>
      <c r="C298" t="str">
        <f>_xlfn.XLOOKUP(B298,antibiotic_code_map!$A$2:$A$10055,antibiotic_code_map!$B$2:$B$10055)</f>
        <v>SUL_DUR</v>
      </c>
    </row>
    <row r="299" spans="1:3" x14ac:dyDescent="0.2">
      <c r="A299" t="s">
        <v>535</v>
      </c>
      <c r="B299" t="s">
        <v>585</v>
      </c>
      <c r="C299" t="str">
        <f>_xlfn.XLOOKUP(B299,antibiotic_code_map!$A$2:$A$10055,antibiotic_code_map!$B$2:$B$10055)</f>
        <v>SDI</v>
      </c>
    </row>
    <row r="300" spans="1:3" x14ac:dyDescent="0.2">
      <c r="A300" t="s">
        <v>536</v>
      </c>
      <c r="B300" t="s">
        <v>587</v>
      </c>
      <c r="C300" t="str">
        <f>_xlfn.XLOOKUP(B300,antibiotic_code_map!$A$2:$A$10055,antibiotic_code_map!$B$2:$B$10055)</f>
        <v>SOX</v>
      </c>
    </row>
    <row r="301" spans="1:3" x14ac:dyDescent="0.2">
      <c r="A301" t="s">
        <v>537</v>
      </c>
      <c r="B301" t="s">
        <v>589</v>
      </c>
      <c r="C301" t="str">
        <f>_xlfn.XLOOKUP(B301,antibiotic_code_map!$A$2:$A$10055,antibiotic_code_map!$B$2:$B$10055)</f>
        <v>TEC</v>
      </c>
    </row>
    <row r="302" spans="1:3" x14ac:dyDescent="0.2">
      <c r="A302" t="s">
        <v>538</v>
      </c>
      <c r="B302" t="s">
        <v>591</v>
      </c>
      <c r="C302" t="str">
        <f>_xlfn.XLOOKUP(B302,antibiotic_code_map!$A$2:$A$10055,antibiotic_code_map!$B$2:$B$10055)</f>
        <v>THA</v>
      </c>
    </row>
    <row r="303" spans="1:3" x14ac:dyDescent="0.2">
      <c r="A303" t="s">
        <v>539</v>
      </c>
      <c r="B303" t="s">
        <v>206</v>
      </c>
      <c r="C303" t="str">
        <f>_xlfn.XLOOKUP(B303,antibiotic_code_map!$A$2:$A$10055,antibiotic_code_map!$B$2:$B$10055)</f>
        <v>TIM</v>
      </c>
    </row>
    <row r="304" spans="1:3" x14ac:dyDescent="0.2">
      <c r="A304" t="s">
        <v>540</v>
      </c>
      <c r="B304" t="s">
        <v>204</v>
      </c>
      <c r="C304" t="str">
        <f>_xlfn.XLOOKUP(B304,antibiotic_code_map!$A$2:$A$10055,antibiotic_code_map!$B$2:$B$10055)</f>
        <v>TIC</v>
      </c>
    </row>
    <row r="305" spans="1:3" x14ac:dyDescent="0.2">
      <c r="A305" t="s">
        <v>541</v>
      </c>
      <c r="B305" t="s">
        <v>199</v>
      </c>
      <c r="C305" t="str">
        <f>_xlfn.XLOOKUP(B305,antibiotic_code_map!$A$2:$A$10055,antibiotic_code_map!$B$2:$B$10055)</f>
        <v>SXT</v>
      </c>
    </row>
    <row r="306" spans="1:3" x14ac:dyDescent="0.2">
      <c r="A306" t="s">
        <v>542</v>
      </c>
      <c r="B306" t="s">
        <v>199</v>
      </c>
      <c r="C306" t="str">
        <f>_xlfn.XLOOKUP(B306,antibiotic_code_map!$A$2:$A$10055,antibiotic_code_map!$B$2:$B$10055)</f>
        <v>SXT</v>
      </c>
    </row>
    <row r="307" spans="1:3" x14ac:dyDescent="0.2">
      <c r="A307" t="s">
        <v>543</v>
      </c>
      <c r="B307" t="s">
        <v>593</v>
      </c>
      <c r="C307" t="str">
        <f>_xlfn.XLOOKUP(B307,antibiotic_code_map!$A$2:$A$10055,antibiotic_code_map!$B$2:$B$10055)</f>
        <v>TVA</v>
      </c>
    </row>
    <row r="308" spans="1:3" x14ac:dyDescent="0.2">
      <c r="A308" t="s">
        <v>544</v>
      </c>
      <c r="B308" t="s">
        <v>246</v>
      </c>
      <c r="C308" t="str">
        <f>_xlfn.XLOOKUP(B308,antibiotic_code_map!$A$2:$A$10055,antibiotic_code_map!$B$2:$B$10055)</f>
        <v>CARBA</v>
      </c>
    </row>
    <row r="309" spans="1:3" x14ac:dyDescent="0.2">
      <c r="A309" t="s">
        <v>598</v>
      </c>
      <c r="B309" t="s">
        <v>581</v>
      </c>
      <c r="C309" t="str">
        <f>_xlfn.XLOOKUP(B309,antibiotic_code_map!$A$2:$A$10055,antibiotic_code_map!$B$2:$B$10055)</f>
        <v>PAS</v>
      </c>
    </row>
    <row r="310" spans="1:3" x14ac:dyDescent="0.2">
      <c r="A310" t="s">
        <v>599</v>
      </c>
      <c r="B310" t="s">
        <v>19</v>
      </c>
      <c r="C310" t="str">
        <f>_xlfn.XLOOKUP(B310,antibiotic_code_map!$A$2:$A$10055,antibiotic_code_map!$B$2:$B$10055)</f>
        <v>AMB</v>
      </c>
    </row>
    <row r="311" spans="1:3" x14ac:dyDescent="0.2">
      <c r="A311" t="s">
        <v>600</v>
      </c>
      <c r="B311" t="s">
        <v>19</v>
      </c>
      <c r="C311" t="str">
        <f>_xlfn.XLOOKUP(B311,antibiotic_code_map!$A$2:$A$10055,antibiotic_code_map!$B$2:$B$10055)</f>
        <v>AMB</v>
      </c>
    </row>
    <row r="312" spans="1:3" x14ac:dyDescent="0.2">
      <c r="A312" t="s">
        <v>601</v>
      </c>
      <c r="B312" t="s">
        <v>19</v>
      </c>
      <c r="C312" t="str">
        <f>_xlfn.XLOOKUP(B312,antibiotic_code_map!$A$2:$A$10055,antibiotic_code_map!$B$2:$B$10055)</f>
        <v>AMB</v>
      </c>
    </row>
    <row r="313" spans="1:3" x14ac:dyDescent="0.2">
      <c r="A313" t="s">
        <v>602</v>
      </c>
      <c r="B313" t="s">
        <v>656</v>
      </c>
      <c r="C313" t="str">
        <f>_xlfn.XLOOKUP(B313,antibiotic_code_map!$A$2:$A$10055,antibiotic_code_map!$B$2:$B$10055)</f>
        <v>BAM</v>
      </c>
    </row>
    <row r="314" spans="1:3" x14ac:dyDescent="0.2">
      <c r="A314" t="s">
        <v>603</v>
      </c>
      <c r="B314" t="s">
        <v>550</v>
      </c>
      <c r="C314" t="str">
        <f>_xlfn.XLOOKUP(B314,antibiotic_code_map!$A$2:$A$10055,antibiotic_code_map!$B$2:$B$10055)</f>
        <v>CRB</v>
      </c>
    </row>
    <row r="315" spans="1:3" x14ac:dyDescent="0.2">
      <c r="A315" t="s">
        <v>604</v>
      </c>
      <c r="B315" t="s">
        <v>658</v>
      </c>
      <c r="C315" t="str">
        <f>_xlfn.XLOOKUP(B315,antibiotic_code_map!$A$2:$A$10055,antibiotic_code_map!$B$2:$B$10055)</f>
        <v>CFR</v>
      </c>
    </row>
    <row r="316" spans="1:3" x14ac:dyDescent="0.2">
      <c r="A316" t="s">
        <v>605</v>
      </c>
      <c r="B316" t="s">
        <v>660</v>
      </c>
      <c r="C316" t="str">
        <f>_xlfn.XLOOKUP(B316,antibiotic_code_map!$A$2:$A$10055,antibiotic_code_map!$B$2:$B$10055)</f>
        <v>CDR</v>
      </c>
    </row>
    <row r="317" spans="1:3" x14ac:dyDescent="0.2">
      <c r="A317" t="s">
        <v>606</v>
      </c>
      <c r="B317" t="s">
        <v>662</v>
      </c>
      <c r="C317" t="str">
        <f>_xlfn.XLOOKUP(B317,antibiotic_code_map!$A$2:$A$10055,antibiotic_code_map!$B$2:$B$10055)</f>
        <v>DIT</v>
      </c>
    </row>
    <row r="318" spans="1:3" x14ac:dyDescent="0.2">
      <c r="A318" t="s">
        <v>607</v>
      </c>
      <c r="B318" t="s">
        <v>664</v>
      </c>
      <c r="C318" t="str">
        <f>_xlfn.XLOOKUP(B318,antibiotic_code_map!$A$2:$A$10055,antibiotic_code_map!$B$2:$B$10055)</f>
        <v>CMZ</v>
      </c>
    </row>
    <row r="319" spans="1:3" x14ac:dyDescent="0.2">
      <c r="A319" t="s">
        <v>608</v>
      </c>
      <c r="B319" t="s">
        <v>76</v>
      </c>
      <c r="C319" t="str">
        <f>_xlfn.XLOOKUP(B319,antibiotic_code_map!$A$2:$A$10055,antibiotic_code_map!$B$2:$B$10055)</f>
        <v>CTX</v>
      </c>
    </row>
    <row r="320" spans="1:3" x14ac:dyDescent="0.2">
      <c r="A320" t="s">
        <v>609</v>
      </c>
      <c r="B320" t="s">
        <v>76</v>
      </c>
      <c r="C320" t="str">
        <f>_xlfn.XLOOKUP(B320,antibiotic_code_map!$A$2:$A$10055,antibiotic_code_map!$B$2:$B$10055)</f>
        <v>CTX</v>
      </c>
    </row>
    <row r="321" spans="1:3" x14ac:dyDescent="0.2">
      <c r="A321" t="s">
        <v>610</v>
      </c>
      <c r="B321" t="s">
        <v>67</v>
      </c>
      <c r="C321" t="str">
        <f>_xlfn.XLOOKUP(B321,antibiotic_code_map!$A$2:$A$10055,antibiotic_code_map!$B$2:$B$10055)</f>
        <v>CPD</v>
      </c>
    </row>
    <row r="322" spans="1:3" x14ac:dyDescent="0.2">
      <c r="A322" t="s">
        <v>611</v>
      </c>
      <c r="B322" t="s">
        <v>666</v>
      </c>
      <c r="C322" t="str">
        <f>_xlfn.XLOOKUP(B322,antibiotic_code_map!$A$2:$A$10055,antibiotic_code_map!$B$2:$B$10055)</f>
        <v>CPR</v>
      </c>
    </row>
    <row r="323" spans="1:3" x14ac:dyDescent="0.2">
      <c r="A323" t="s">
        <v>612</v>
      </c>
      <c r="B323" t="s">
        <v>45</v>
      </c>
      <c r="C323" t="str">
        <f>_xlfn.XLOOKUP(B323,antibiotic_code_map!$A$2:$A$10055,antibiotic_code_map!$B$2:$B$10055)</f>
        <v>CAZ_AVI</v>
      </c>
    </row>
    <row r="324" spans="1:3" x14ac:dyDescent="0.2">
      <c r="A324" t="s">
        <v>613</v>
      </c>
      <c r="B324" t="s">
        <v>668</v>
      </c>
      <c r="C324" t="str">
        <f>_xlfn.XLOOKUP(B324,antibiotic_code_map!$A$2:$A$10055,antibiotic_code_map!$B$2:$B$10055)</f>
        <v>CTB</v>
      </c>
    </row>
    <row r="325" spans="1:3" x14ac:dyDescent="0.2">
      <c r="A325" t="s">
        <v>614</v>
      </c>
      <c r="B325" t="s">
        <v>71</v>
      </c>
      <c r="C325" t="str">
        <f>_xlfn.XLOOKUP(B325,antibiotic_code_map!$A$2:$A$10055,antibiotic_code_map!$B$2:$B$10055)</f>
        <v>CRO</v>
      </c>
    </row>
    <row r="326" spans="1:3" x14ac:dyDescent="0.2">
      <c r="A326" t="s">
        <v>615</v>
      </c>
      <c r="B326" t="s">
        <v>71</v>
      </c>
      <c r="C326" t="str">
        <f>_xlfn.XLOOKUP(B326,antibiotic_code_map!$A$2:$A$10055,antibiotic_code_map!$B$2:$B$10055)</f>
        <v>CRO</v>
      </c>
    </row>
    <row r="327" spans="1:3" x14ac:dyDescent="0.2">
      <c r="A327" t="s">
        <v>616</v>
      </c>
      <c r="B327" t="s">
        <v>80</v>
      </c>
      <c r="C327" t="str">
        <f>_xlfn.XLOOKUP(B327,antibiotic_code_map!$A$2:$A$10055,antibiotic_code_map!$B$2:$B$10055)</f>
        <v>CXM</v>
      </c>
    </row>
    <row r="328" spans="1:3" x14ac:dyDescent="0.2">
      <c r="A328" t="s">
        <v>617</v>
      </c>
      <c r="B328" t="s">
        <v>80</v>
      </c>
      <c r="C328" t="str">
        <f>_xlfn.XLOOKUP(B328,antibiotic_code_map!$A$2:$A$10055,antibiotic_code_map!$B$2:$B$10055)</f>
        <v>CXM</v>
      </c>
    </row>
    <row r="329" spans="1:3" x14ac:dyDescent="0.2">
      <c r="A329" t="s">
        <v>618</v>
      </c>
      <c r="B329" t="s">
        <v>670</v>
      </c>
      <c r="C329" t="str">
        <f>_xlfn.XLOOKUP(B329,antibiotic_code_map!$A$2:$A$10055,antibiotic_code_map!$B$2:$B$10055)</f>
        <v>HAP</v>
      </c>
    </row>
    <row r="330" spans="1:3" x14ac:dyDescent="0.2">
      <c r="A330" t="s">
        <v>619</v>
      </c>
      <c r="B330" t="s">
        <v>672</v>
      </c>
      <c r="C330" t="str">
        <f>_xlfn.XLOOKUP(B330,antibiotic_code_map!$A$2:$A$10055,antibiotic_code_map!$B$2:$B$10055)</f>
        <v>CIN</v>
      </c>
    </row>
    <row r="331" spans="1:3" x14ac:dyDescent="0.2">
      <c r="A331" t="s">
        <v>620</v>
      </c>
      <c r="B331" t="s">
        <v>674</v>
      </c>
      <c r="C331" t="str">
        <f>_xlfn.XLOOKUP(B331,antibiotic_code_map!$A$2:$A$10055,antibiotic_code_map!$B$2:$B$10055)</f>
        <v>CLO</v>
      </c>
    </row>
    <row r="332" spans="1:3" x14ac:dyDescent="0.2">
      <c r="A332" t="s">
        <v>621</v>
      </c>
      <c r="B332" t="s">
        <v>9</v>
      </c>
      <c r="C332" t="str">
        <f>_xlfn.XLOOKUP(B332,antibiotic_code_map!$A$2:$A$10055,antibiotic_code_map!$B$2:$B$10055)</f>
        <v>CST</v>
      </c>
    </row>
    <row r="333" spans="1:3" x14ac:dyDescent="0.2">
      <c r="A333" t="s">
        <v>622</v>
      </c>
      <c r="B333" t="s">
        <v>9</v>
      </c>
      <c r="C333" t="str">
        <f>_xlfn.XLOOKUP(B333,antibiotic_code_map!$A$2:$A$10055,antibiotic_code_map!$B$2:$B$10055)</f>
        <v>CST</v>
      </c>
    </row>
    <row r="334" spans="1:3" x14ac:dyDescent="0.2">
      <c r="A334" t="s">
        <v>623</v>
      </c>
      <c r="B334" t="s">
        <v>243</v>
      </c>
      <c r="C334" t="str">
        <f>_xlfn.XLOOKUP(B334,antibiotic_code_map!$A$2:$A$10055,antibiotic_code_map!$B$2:$B$10055)</f>
        <v>CARBA</v>
      </c>
    </row>
    <row r="335" spans="1:3" x14ac:dyDescent="0.2">
      <c r="A335" t="s">
        <v>624</v>
      </c>
      <c r="B335" t="s">
        <v>675</v>
      </c>
      <c r="C335" t="str">
        <f>_xlfn.XLOOKUP(B335,antibiotic_code_map!$A$2:$A$10055,antibiotic_code_map!$B$2:$B$10055)</f>
        <v>DEM</v>
      </c>
    </row>
    <row r="336" spans="1:3" x14ac:dyDescent="0.2">
      <c r="A336" t="s">
        <v>625</v>
      </c>
      <c r="B336" t="s">
        <v>677</v>
      </c>
      <c r="C336" t="str">
        <f>_xlfn.XLOOKUP(B336,antibiotic_code_map!$A$2:$A$10055,antibiotic_code_map!$B$2:$B$10055)</f>
        <v>DIR</v>
      </c>
    </row>
    <row r="337" spans="1:3" x14ac:dyDescent="0.2">
      <c r="A337" t="s">
        <v>626</v>
      </c>
      <c r="B337" t="s">
        <v>679</v>
      </c>
      <c r="C337" t="str">
        <f>_xlfn.XLOOKUP(B337,antibiotic_code_map!$A$2:$A$10055,antibiotic_code_map!$B$2:$B$10055)</f>
        <v>ENX</v>
      </c>
    </row>
    <row r="338" spans="1:3" x14ac:dyDescent="0.2">
      <c r="A338" t="s">
        <v>627</v>
      </c>
      <c r="B338" t="s">
        <v>681</v>
      </c>
      <c r="C338" t="str">
        <f>_xlfn.XLOOKUP(B338,antibiotic_code_map!$A$2:$A$10055,antibiotic_code_map!$B$2:$B$10055)</f>
        <v>GEM</v>
      </c>
    </row>
    <row r="339" spans="1:3" x14ac:dyDescent="0.2">
      <c r="A339" t="s">
        <v>628</v>
      </c>
      <c r="B339" t="s">
        <v>5</v>
      </c>
      <c r="C339" t="str">
        <f>_xlfn.XLOOKUP(B339,antibiotic_code_map!$A$2:$A$10055,antibiotic_code_map!$B$2:$B$10055)</f>
        <v>GEN</v>
      </c>
    </row>
    <row r="340" spans="1:3" x14ac:dyDescent="0.2">
      <c r="A340" t="s">
        <v>629</v>
      </c>
      <c r="B340" t="s">
        <v>683</v>
      </c>
      <c r="C340" t="str">
        <f>_xlfn.XLOOKUP(B340,antibiotic_code_map!$A$2:$A$10055,antibiotic_code_map!$B$2:$B$10055)</f>
        <v>GRX</v>
      </c>
    </row>
    <row r="341" spans="1:3" x14ac:dyDescent="0.2">
      <c r="A341" t="s">
        <v>630</v>
      </c>
      <c r="B341" t="s">
        <v>126</v>
      </c>
      <c r="C341" t="str">
        <f>_xlfn.XLOOKUP(B341,antibiotic_code_map!$A$2:$A$10055,antibiotic_code_map!$B$2:$B$10055)</f>
        <v>IPM_REL</v>
      </c>
    </row>
    <row r="342" spans="1:3" x14ac:dyDescent="0.2">
      <c r="A342" t="s">
        <v>631</v>
      </c>
      <c r="B342" t="s">
        <v>7</v>
      </c>
      <c r="C342" t="str">
        <f>_xlfn.XLOOKUP(B342,antibiotic_code_map!$A$2:$A$10055,antibiotic_code_map!$B$2:$B$10055)</f>
        <v>IPM</v>
      </c>
    </row>
    <row r="343" spans="1:3" x14ac:dyDescent="0.2">
      <c r="A343" t="s">
        <v>632</v>
      </c>
      <c r="B343" t="s">
        <v>685</v>
      </c>
      <c r="C343" t="str">
        <f>_xlfn.XLOOKUP(B343,antibiotic_code_map!$A$2:$A$10055,antibiotic_code_map!$B$2:$B$10055)</f>
        <v>LMU</v>
      </c>
    </row>
    <row r="344" spans="1:3" x14ac:dyDescent="0.2">
      <c r="A344" t="s">
        <v>633</v>
      </c>
      <c r="B344" t="s">
        <v>687</v>
      </c>
      <c r="C344" t="str">
        <f>_xlfn.XLOOKUP(B344,antibiotic_code_map!$A$2:$A$10055,antibiotic_code_map!$B$2:$B$10055)</f>
        <v>LIN</v>
      </c>
    </row>
    <row r="345" spans="1:3" x14ac:dyDescent="0.2">
      <c r="A345" t="s">
        <v>634</v>
      </c>
      <c r="B345" t="s">
        <v>689</v>
      </c>
      <c r="C345" t="str">
        <f>_xlfn.XLOOKUP(B345,antibiotic_code_map!$A$2:$A$10055,antibiotic_code_map!$B$2:$B$10055)</f>
        <v>LOR</v>
      </c>
    </row>
    <row r="346" spans="1:3" x14ac:dyDescent="0.2">
      <c r="A346" t="s">
        <v>635</v>
      </c>
      <c r="B346" t="s">
        <v>147</v>
      </c>
      <c r="C346" t="str">
        <f>_xlfn.XLOOKUP(B346,antibiotic_code_map!$A$2:$A$10055,antibiotic_code_map!$B$2:$B$10055)</f>
        <v>MEM_VAB</v>
      </c>
    </row>
    <row r="347" spans="1:3" x14ac:dyDescent="0.2">
      <c r="A347" t="s">
        <v>636</v>
      </c>
      <c r="B347" t="s">
        <v>691</v>
      </c>
      <c r="C347" t="str">
        <f>_xlfn.XLOOKUP(B347,antibiotic_code_map!$A$2:$A$10055,antibiotic_code_map!$B$2:$B$10055)</f>
        <v>NTZ</v>
      </c>
    </row>
    <row r="348" spans="1:3" x14ac:dyDescent="0.2">
      <c r="A348" t="s">
        <v>637</v>
      </c>
      <c r="B348" t="s">
        <v>693</v>
      </c>
      <c r="C348" t="str">
        <f>_xlfn.XLOOKUP(B348,antibiotic_code_map!$A$2:$A$10055,antibiotic_code_map!$B$2:$B$10055)</f>
        <v>NIZ</v>
      </c>
    </row>
    <row r="349" spans="1:3" x14ac:dyDescent="0.2">
      <c r="A349" t="s">
        <v>638</v>
      </c>
      <c r="B349" t="s">
        <v>162</v>
      </c>
      <c r="C349" t="str">
        <f>_xlfn.XLOOKUP(B349,antibiotic_code_map!$A$2:$A$10055,antibiotic_code_map!$B$2:$B$10055)</f>
        <v>NOR</v>
      </c>
    </row>
    <row r="350" spans="1:3" x14ac:dyDescent="0.2">
      <c r="A350" t="s">
        <v>639</v>
      </c>
      <c r="B350" t="s">
        <v>695</v>
      </c>
      <c r="C350" t="str">
        <f>_xlfn.XLOOKUP(B350,antibiotic_code_map!$A$2:$A$10055,antibiotic_code_map!$B$2:$B$10055)</f>
        <v>NOV</v>
      </c>
    </row>
    <row r="351" spans="1:3" x14ac:dyDescent="0.2">
      <c r="A351" t="s">
        <v>640</v>
      </c>
      <c r="B351" t="s">
        <v>697</v>
      </c>
      <c r="C351" t="str">
        <f>_xlfn.XLOOKUP(B351,antibiotic_code_map!$A$2:$A$10055,antibiotic_code_map!$B$2:$B$10055)</f>
        <v>ORI</v>
      </c>
    </row>
    <row r="352" spans="1:3" x14ac:dyDescent="0.2">
      <c r="A352" t="s">
        <v>641</v>
      </c>
      <c r="B352" t="s">
        <v>699</v>
      </c>
      <c r="C352" t="str">
        <f>_xlfn.XLOOKUP(B352,antibiotic_code_map!$A$2:$A$10055,antibiotic_code_map!$B$2:$B$10055)</f>
        <v>PAR</v>
      </c>
    </row>
    <row r="353" spans="1:3" x14ac:dyDescent="0.2">
      <c r="A353" t="s">
        <v>642</v>
      </c>
      <c r="B353" t="s">
        <v>172</v>
      </c>
      <c r="C353" t="str">
        <f>_xlfn.XLOOKUP(B353,antibiotic_code_map!$A$2:$A$10055,antibiotic_code_map!$B$2:$B$10055)</f>
        <v>PEN</v>
      </c>
    </row>
    <row r="354" spans="1:3" x14ac:dyDescent="0.2">
      <c r="A354" t="s">
        <v>643</v>
      </c>
      <c r="B354" t="s">
        <v>172</v>
      </c>
      <c r="C354" t="str">
        <f>_xlfn.XLOOKUP(B354,antibiotic_code_map!$A$2:$A$10055,antibiotic_code_map!$B$2:$B$10055)</f>
        <v>PEN</v>
      </c>
    </row>
    <row r="355" spans="1:3" x14ac:dyDescent="0.2">
      <c r="A355" t="s">
        <v>644</v>
      </c>
      <c r="B355" t="s">
        <v>172</v>
      </c>
      <c r="C355" t="str">
        <f>_xlfn.XLOOKUP(B355,antibiotic_code_map!$A$2:$A$10055,antibiotic_code_map!$B$2:$B$10055)</f>
        <v>PEN</v>
      </c>
    </row>
    <row r="356" spans="1:3" x14ac:dyDescent="0.2">
      <c r="A356" t="s">
        <v>645</v>
      </c>
      <c r="B356" t="s">
        <v>172</v>
      </c>
      <c r="C356" t="str">
        <f>_xlfn.XLOOKUP(B356,antibiotic_code_map!$A$2:$A$10055,antibiotic_code_map!$B$2:$B$10055)</f>
        <v>PEN</v>
      </c>
    </row>
    <row r="357" spans="1:3" x14ac:dyDescent="0.2">
      <c r="A357" t="s">
        <v>646</v>
      </c>
      <c r="B357" t="s">
        <v>220</v>
      </c>
      <c r="C357" t="str">
        <f>_xlfn.XLOOKUP(B357,antibiotic_code_map!$A$2:$A$10055,antibiotic_code_map!$B$2:$B$10055)</f>
        <v>TZP</v>
      </c>
    </row>
    <row r="358" spans="1:3" x14ac:dyDescent="0.2">
      <c r="A358" t="s">
        <v>647</v>
      </c>
      <c r="B358" t="s">
        <v>183</v>
      </c>
      <c r="C358" t="str">
        <f>_xlfn.XLOOKUP(B358,antibiotic_code_map!$A$2:$A$10055,antibiotic_code_map!$B$2:$B$10055)</f>
        <v>QUD</v>
      </c>
    </row>
    <row r="359" spans="1:3" x14ac:dyDescent="0.2">
      <c r="A359" t="s">
        <v>648</v>
      </c>
      <c r="B359" t="s">
        <v>701</v>
      </c>
      <c r="C359" t="str">
        <f>_xlfn.XLOOKUP(B359,antibiotic_code_map!$A$2:$A$10055,antibiotic_code_map!$B$2:$B$10055)</f>
        <v>RET</v>
      </c>
    </row>
    <row r="360" spans="1:3" x14ac:dyDescent="0.2">
      <c r="A360" t="s">
        <v>649</v>
      </c>
      <c r="B360" t="s">
        <v>704</v>
      </c>
      <c r="C360" t="str">
        <f>_xlfn.XLOOKUP(B360,antibiotic_code_map!$A$2:$A$10055,antibiotic_code_map!$B$2:$B$10055)</f>
        <v>RPT</v>
      </c>
    </row>
    <row r="361" spans="1:3" x14ac:dyDescent="0.2">
      <c r="A361" t="s">
        <v>650</v>
      </c>
      <c r="B361" t="s">
        <v>705</v>
      </c>
      <c r="C361" t="str">
        <f>_xlfn.XLOOKUP(B361,antibiotic_code_map!$A$2:$A$10055,antibiotic_code_map!$B$2:$B$10055)</f>
        <v>RFX</v>
      </c>
    </row>
    <row r="362" spans="1:3" x14ac:dyDescent="0.2">
      <c r="A362" t="s">
        <v>651</v>
      </c>
      <c r="B362" t="s">
        <v>707</v>
      </c>
      <c r="C362" t="str">
        <f>_xlfn.XLOOKUP(B362,antibiotic_code_map!$A$2:$A$10055,antibiotic_code_map!$B$2:$B$10055)</f>
        <v>SPI</v>
      </c>
    </row>
    <row r="363" spans="1:3" x14ac:dyDescent="0.2">
      <c r="A363" t="s">
        <v>652</v>
      </c>
      <c r="B363" t="s">
        <v>709</v>
      </c>
      <c r="C363" t="str">
        <f>_xlfn.XLOOKUP(B363,antibiotic_code_map!$A$2:$A$10055,antibiotic_code_map!$B$2:$B$10055)</f>
        <v>TZD</v>
      </c>
    </row>
    <row r="364" spans="1:3" x14ac:dyDescent="0.2">
      <c r="A364" t="s">
        <v>653</v>
      </c>
      <c r="B364" t="s">
        <v>711</v>
      </c>
      <c r="C364" t="str">
        <f>_xlfn.XLOOKUP(B364,antibiotic_code_map!$A$2:$A$10055,antibiotic_code_map!$B$2:$B$10055)</f>
        <v>TLT</v>
      </c>
    </row>
    <row r="365" spans="1:3" x14ac:dyDescent="0.2">
      <c r="A365" t="s">
        <v>654</v>
      </c>
      <c r="B365" t="s">
        <v>206</v>
      </c>
      <c r="C365" t="str">
        <f>_xlfn.XLOOKUP(B365,antibiotic_code_map!$A$2:$A$10055,antibiotic_code_map!$B$2:$B$10055)</f>
        <v>TIM</v>
      </c>
    </row>
    <row r="366" spans="1:3" x14ac:dyDescent="0.2">
      <c r="A366" t="s">
        <v>655</v>
      </c>
      <c r="B366" t="s">
        <v>206</v>
      </c>
      <c r="C366" t="str">
        <f>_xlfn.XLOOKUP(B366,antibiotic_code_map!$A$2:$A$10055,antibiotic_code_map!$B$2:$B$10055)</f>
        <v>TIM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2F7ADA-7F14-6645-8B0F-BACCC1D8D9B7}">
          <x14:formula1>
            <xm:f>antibiotic_code_map!$A$2:$A$1055</xm:f>
          </x14:formula1>
          <xm:sqref>B2:B366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1F8C-C758-0C4E-B057-A5D75AA8605E}">
  <dimension ref="A1:D177"/>
  <sheetViews>
    <sheetView workbookViewId="0">
      <pane ySplit="1" topLeftCell="A151" activePane="bottomLeft" state="frozen"/>
      <selection pane="bottomLeft" activeCell="B168" sqref="B168"/>
    </sheetView>
  </sheetViews>
  <sheetFormatPr baseColWidth="10" defaultRowHeight="16" x14ac:dyDescent="0.2"/>
  <cols>
    <col min="1" max="1" width="38.5" customWidth="1"/>
    <col min="2" max="2" width="19.83203125" customWidth="1"/>
    <col min="3" max="3" width="18" customWidth="1"/>
  </cols>
  <sheetData>
    <row r="1" spans="1:4" x14ac:dyDescent="0.2">
      <c r="A1" s="2" t="s">
        <v>238</v>
      </c>
      <c r="B1" s="2" t="s">
        <v>223</v>
      </c>
      <c r="C1" s="1" t="s">
        <v>233</v>
      </c>
      <c r="D1" s="1" t="s">
        <v>234</v>
      </c>
    </row>
    <row r="2" spans="1:4" x14ac:dyDescent="0.2">
      <c r="A2" t="s">
        <v>23</v>
      </c>
      <c r="B2" t="s">
        <v>22</v>
      </c>
    </row>
    <row r="3" spans="1:4" x14ac:dyDescent="0.2">
      <c r="A3" t="s">
        <v>27</v>
      </c>
      <c r="B3" t="s">
        <v>26</v>
      </c>
    </row>
    <row r="4" spans="1:4" x14ac:dyDescent="0.2">
      <c r="A4" t="s">
        <v>21</v>
      </c>
      <c r="B4" t="s">
        <v>20</v>
      </c>
    </row>
    <row r="5" spans="1:4" x14ac:dyDescent="0.2">
      <c r="A5" t="s">
        <v>19</v>
      </c>
      <c r="B5" t="s">
        <v>18</v>
      </c>
    </row>
    <row r="6" spans="1:4" x14ac:dyDescent="0.2">
      <c r="A6" t="s">
        <v>25</v>
      </c>
      <c r="B6" t="s">
        <v>24</v>
      </c>
    </row>
    <row r="7" spans="1:4" x14ac:dyDescent="0.2">
      <c r="A7" t="s">
        <v>189</v>
      </c>
      <c r="B7" t="s">
        <v>188</v>
      </c>
    </row>
    <row r="8" spans="1:4" x14ac:dyDescent="0.2">
      <c r="A8" t="s">
        <v>17</v>
      </c>
      <c r="B8" t="s">
        <v>16</v>
      </c>
    </row>
    <row r="9" spans="1:4" x14ac:dyDescent="0.2">
      <c r="A9" t="s">
        <v>33</v>
      </c>
      <c r="B9" t="s">
        <v>32</v>
      </c>
    </row>
    <row r="10" spans="1:4" x14ac:dyDescent="0.2">
      <c r="A10" t="s">
        <v>546</v>
      </c>
      <c r="B10" t="s">
        <v>547</v>
      </c>
    </row>
    <row r="11" spans="1:4" x14ac:dyDescent="0.2">
      <c r="A11" t="s">
        <v>29</v>
      </c>
      <c r="B11" t="s">
        <v>28</v>
      </c>
    </row>
    <row r="12" spans="1:4" x14ac:dyDescent="0.2">
      <c r="A12" t="s">
        <v>31</v>
      </c>
      <c r="B12" t="s">
        <v>30</v>
      </c>
    </row>
    <row r="13" spans="1:4" x14ac:dyDescent="0.2">
      <c r="A13" t="s">
        <v>656</v>
      </c>
      <c r="B13" t="s">
        <v>657</v>
      </c>
    </row>
    <row r="14" spans="1:4" x14ac:dyDescent="0.2">
      <c r="A14" t="s">
        <v>548</v>
      </c>
      <c r="B14" t="s">
        <v>549</v>
      </c>
    </row>
    <row r="15" spans="1:4" x14ac:dyDescent="0.2">
      <c r="A15" t="s">
        <v>35</v>
      </c>
      <c r="B15" t="s">
        <v>34</v>
      </c>
    </row>
    <row r="16" spans="1:4" x14ac:dyDescent="0.2">
      <c r="A16" t="s">
        <v>224</v>
      </c>
      <c r="B16" t="s">
        <v>36</v>
      </c>
      <c r="C16" t="s">
        <v>224</v>
      </c>
      <c r="D16" t="s">
        <v>229</v>
      </c>
    </row>
    <row r="17" spans="1:4" x14ac:dyDescent="0.2">
      <c r="A17" t="s">
        <v>38</v>
      </c>
      <c r="B17" t="s">
        <v>37</v>
      </c>
    </row>
    <row r="18" spans="1:4" x14ac:dyDescent="0.2">
      <c r="A18" t="s">
        <v>241</v>
      </c>
      <c r="B18" t="s">
        <v>39</v>
      </c>
      <c r="C18" t="s">
        <v>225</v>
      </c>
      <c r="D18" t="s">
        <v>227</v>
      </c>
    </row>
    <row r="19" spans="1:4" x14ac:dyDescent="0.2">
      <c r="A19" t="s">
        <v>247</v>
      </c>
      <c r="B19" t="s">
        <v>39</v>
      </c>
      <c r="C19" t="s">
        <v>225</v>
      </c>
      <c r="D19" t="s">
        <v>232</v>
      </c>
    </row>
    <row r="20" spans="1:4" x14ac:dyDescent="0.2">
      <c r="A20" t="s">
        <v>242</v>
      </c>
      <c r="B20" t="s">
        <v>39</v>
      </c>
      <c r="C20" t="s">
        <v>225</v>
      </c>
      <c r="D20" t="s">
        <v>228</v>
      </c>
    </row>
    <row r="21" spans="1:4" x14ac:dyDescent="0.2">
      <c r="A21" t="s">
        <v>243</v>
      </c>
      <c r="B21" t="s">
        <v>39</v>
      </c>
      <c r="C21" t="s">
        <v>225</v>
      </c>
    </row>
    <row r="22" spans="1:4" x14ac:dyDescent="0.2">
      <c r="A22" t="s">
        <v>239</v>
      </c>
      <c r="B22" t="s">
        <v>39</v>
      </c>
      <c r="C22" t="s">
        <v>225</v>
      </c>
      <c r="D22" t="s">
        <v>169</v>
      </c>
    </row>
    <row r="23" spans="1:4" x14ac:dyDescent="0.2">
      <c r="A23" t="s">
        <v>246</v>
      </c>
      <c r="B23" t="s">
        <v>39</v>
      </c>
      <c r="C23" t="s">
        <v>225</v>
      </c>
      <c r="D23" t="s">
        <v>231</v>
      </c>
    </row>
    <row r="24" spans="1:4" x14ac:dyDescent="0.2">
      <c r="A24" t="s">
        <v>550</v>
      </c>
      <c r="B24" t="s">
        <v>551</v>
      </c>
    </row>
    <row r="25" spans="1:4" x14ac:dyDescent="0.2">
      <c r="A25" t="s">
        <v>41</v>
      </c>
      <c r="B25" t="s">
        <v>40</v>
      </c>
    </row>
    <row r="26" spans="1:4" x14ac:dyDescent="0.2">
      <c r="A26" t="s">
        <v>49</v>
      </c>
      <c r="B26" t="s">
        <v>48</v>
      </c>
    </row>
    <row r="27" spans="1:4" x14ac:dyDescent="0.2">
      <c r="A27" t="s">
        <v>658</v>
      </c>
      <c r="B27" t="s">
        <v>659</v>
      </c>
    </row>
    <row r="28" spans="1:4" x14ac:dyDescent="0.2">
      <c r="A28" t="s">
        <v>106</v>
      </c>
      <c r="B28" t="s">
        <v>105</v>
      </c>
    </row>
    <row r="29" spans="1:4" x14ac:dyDescent="0.2">
      <c r="A29" t="s">
        <v>55</v>
      </c>
      <c r="B29" t="s">
        <v>54</v>
      </c>
    </row>
    <row r="30" spans="1:4" x14ac:dyDescent="0.2">
      <c r="A30" t="s">
        <v>660</v>
      </c>
      <c r="B30" t="s">
        <v>661</v>
      </c>
    </row>
    <row r="31" spans="1:4" x14ac:dyDescent="0.2">
      <c r="A31" t="s">
        <v>662</v>
      </c>
      <c r="B31" t="s">
        <v>663</v>
      </c>
    </row>
    <row r="32" spans="1:4" x14ac:dyDescent="0.2">
      <c r="A32" t="s">
        <v>110</v>
      </c>
      <c r="B32" t="s">
        <v>109</v>
      </c>
    </row>
    <row r="33" spans="1:2" x14ac:dyDescent="0.2">
      <c r="A33" t="s">
        <v>108</v>
      </c>
      <c r="B33" t="s">
        <v>107</v>
      </c>
    </row>
    <row r="34" spans="1:2" x14ac:dyDescent="0.2">
      <c r="A34" t="s">
        <v>53</v>
      </c>
      <c r="B34" t="s">
        <v>52</v>
      </c>
    </row>
    <row r="35" spans="1:2" x14ac:dyDescent="0.2">
      <c r="A35" t="s">
        <v>664</v>
      </c>
      <c r="B35" t="s">
        <v>665</v>
      </c>
    </row>
    <row r="36" spans="1:2" x14ac:dyDescent="0.2">
      <c r="A36" t="s">
        <v>552</v>
      </c>
      <c r="B36" t="s">
        <v>553</v>
      </c>
    </row>
    <row r="37" spans="1:2" x14ac:dyDescent="0.2">
      <c r="A37" t="s">
        <v>554</v>
      </c>
      <c r="B37" t="s">
        <v>555</v>
      </c>
    </row>
    <row r="38" spans="1:2" x14ac:dyDescent="0.2">
      <c r="A38" t="s">
        <v>597</v>
      </c>
      <c r="B38" t="s">
        <v>596</v>
      </c>
    </row>
    <row r="39" spans="1:2" x14ac:dyDescent="0.2">
      <c r="A39" t="s">
        <v>76</v>
      </c>
      <c r="B39" t="s">
        <v>75</v>
      </c>
    </row>
    <row r="40" spans="1:2" x14ac:dyDescent="0.2">
      <c r="A40" t="s">
        <v>78</v>
      </c>
      <c r="B40" t="s">
        <v>77</v>
      </c>
    </row>
    <row r="41" spans="1:2" x14ac:dyDescent="0.2">
      <c r="A41" t="s">
        <v>74</v>
      </c>
      <c r="B41" t="s">
        <v>73</v>
      </c>
    </row>
    <row r="42" spans="1:2" x14ac:dyDescent="0.2">
      <c r="A42" t="s">
        <v>556</v>
      </c>
      <c r="B42" t="s">
        <v>557</v>
      </c>
    </row>
    <row r="43" spans="1:2" x14ac:dyDescent="0.2">
      <c r="A43" t="s">
        <v>115</v>
      </c>
      <c r="B43" t="s">
        <v>114</v>
      </c>
    </row>
    <row r="44" spans="1:2" x14ac:dyDescent="0.2">
      <c r="A44" t="s">
        <v>67</v>
      </c>
      <c r="B44" t="s">
        <v>66</v>
      </c>
    </row>
    <row r="45" spans="1:2" x14ac:dyDescent="0.2">
      <c r="A45" t="s">
        <v>666</v>
      </c>
      <c r="B45" t="s">
        <v>667</v>
      </c>
    </row>
    <row r="46" spans="1:2" x14ac:dyDescent="0.2">
      <c r="A46" t="s">
        <v>69</v>
      </c>
      <c r="B46" t="s">
        <v>68</v>
      </c>
    </row>
    <row r="47" spans="1:2" x14ac:dyDescent="0.2">
      <c r="A47" t="s">
        <v>43</v>
      </c>
      <c r="B47" t="s">
        <v>42</v>
      </c>
    </row>
    <row r="48" spans="1:2" x14ac:dyDescent="0.2">
      <c r="A48" t="s">
        <v>45</v>
      </c>
      <c r="B48" t="s">
        <v>44</v>
      </c>
    </row>
    <row r="49" spans="1:2" x14ac:dyDescent="0.2">
      <c r="A49" t="s">
        <v>47</v>
      </c>
      <c r="B49" t="s">
        <v>46</v>
      </c>
    </row>
    <row r="50" spans="1:2" x14ac:dyDescent="0.2">
      <c r="A50" t="s">
        <v>668</v>
      </c>
      <c r="B50" t="s">
        <v>669</v>
      </c>
    </row>
    <row r="51" spans="1:2" x14ac:dyDescent="0.2">
      <c r="A51" t="s">
        <v>249</v>
      </c>
      <c r="B51" t="s">
        <v>252</v>
      </c>
    </row>
    <row r="52" spans="1:2" x14ac:dyDescent="0.2">
      <c r="A52" t="s">
        <v>214</v>
      </c>
      <c r="B52" t="s">
        <v>213</v>
      </c>
    </row>
    <row r="53" spans="1:2" x14ac:dyDescent="0.2">
      <c r="A53" t="s">
        <v>71</v>
      </c>
      <c r="B53" t="s">
        <v>70</v>
      </c>
    </row>
    <row r="54" spans="1:2" x14ac:dyDescent="0.2">
      <c r="A54" t="s">
        <v>80</v>
      </c>
      <c r="B54" t="s">
        <v>79</v>
      </c>
    </row>
    <row r="55" spans="1:2" x14ac:dyDescent="0.2">
      <c r="A55" t="s">
        <v>558</v>
      </c>
      <c r="B55" t="s">
        <v>559</v>
      </c>
    </row>
    <row r="56" spans="1:2" x14ac:dyDescent="0.2">
      <c r="A56" t="s">
        <v>51</v>
      </c>
      <c r="B56" t="s">
        <v>50</v>
      </c>
    </row>
    <row r="57" spans="1:2" x14ac:dyDescent="0.2">
      <c r="A57" t="s">
        <v>670</v>
      </c>
      <c r="B57" t="s">
        <v>671</v>
      </c>
    </row>
    <row r="58" spans="1:2" x14ac:dyDescent="0.2">
      <c r="A58" t="s">
        <v>560</v>
      </c>
      <c r="B58" t="s">
        <v>561</v>
      </c>
    </row>
    <row r="59" spans="1:2" x14ac:dyDescent="0.2">
      <c r="A59" t="s">
        <v>57</v>
      </c>
      <c r="B59" t="s">
        <v>56</v>
      </c>
    </row>
    <row r="60" spans="1:2" x14ac:dyDescent="0.2">
      <c r="A60" t="s">
        <v>672</v>
      </c>
      <c r="B60" t="s">
        <v>673</v>
      </c>
    </row>
    <row r="61" spans="1:2" x14ac:dyDescent="0.2">
      <c r="A61" t="s">
        <v>1</v>
      </c>
      <c r="B61" t="s">
        <v>58</v>
      </c>
    </row>
    <row r="62" spans="1:2" x14ac:dyDescent="0.2">
      <c r="A62" t="s">
        <v>63</v>
      </c>
      <c r="B62" t="s">
        <v>62</v>
      </c>
    </row>
    <row r="63" spans="1:2" x14ac:dyDescent="0.2">
      <c r="A63" t="s">
        <v>562</v>
      </c>
      <c r="B63" t="s">
        <v>563</v>
      </c>
    </row>
    <row r="64" spans="1:2" x14ac:dyDescent="0.2">
      <c r="A64" t="s">
        <v>4</v>
      </c>
      <c r="B64" t="s">
        <v>59</v>
      </c>
    </row>
    <row r="65" spans="1:2" x14ac:dyDescent="0.2">
      <c r="A65" t="s">
        <v>61</v>
      </c>
      <c r="B65" t="s">
        <v>60</v>
      </c>
    </row>
    <row r="66" spans="1:2" x14ac:dyDescent="0.2">
      <c r="A66" t="s">
        <v>65</v>
      </c>
      <c r="B66" t="s">
        <v>64</v>
      </c>
    </row>
    <row r="67" spans="1:2" x14ac:dyDescent="0.2">
      <c r="A67" t="s">
        <v>674</v>
      </c>
      <c r="B67" t="s">
        <v>60</v>
      </c>
    </row>
    <row r="68" spans="1:2" x14ac:dyDescent="0.2">
      <c r="A68" t="s">
        <v>9</v>
      </c>
      <c r="B68" t="s">
        <v>72</v>
      </c>
    </row>
    <row r="69" spans="1:2" x14ac:dyDescent="0.2">
      <c r="A69" t="s">
        <v>84</v>
      </c>
      <c r="B69" t="s">
        <v>83</v>
      </c>
    </row>
    <row r="70" spans="1:2" x14ac:dyDescent="0.2">
      <c r="A70" t="s">
        <v>545</v>
      </c>
      <c r="B70" t="s">
        <v>564</v>
      </c>
    </row>
    <row r="71" spans="1:2" x14ac:dyDescent="0.2">
      <c r="A71" t="s">
        <v>82</v>
      </c>
      <c r="B71" t="s">
        <v>81</v>
      </c>
    </row>
    <row r="72" spans="1:2" x14ac:dyDescent="0.2">
      <c r="A72" t="s">
        <v>86</v>
      </c>
      <c r="B72" t="s">
        <v>85</v>
      </c>
    </row>
    <row r="73" spans="1:2" x14ac:dyDescent="0.2">
      <c r="A73" t="s">
        <v>675</v>
      </c>
      <c r="B73" t="s">
        <v>676</v>
      </c>
    </row>
    <row r="74" spans="1:2" x14ac:dyDescent="0.2">
      <c r="A74" t="s">
        <v>565</v>
      </c>
      <c r="B74" t="s">
        <v>566</v>
      </c>
    </row>
    <row r="75" spans="1:2" x14ac:dyDescent="0.2">
      <c r="A75" t="s">
        <v>677</v>
      </c>
      <c r="B75" t="s">
        <v>678</v>
      </c>
    </row>
    <row r="76" spans="1:2" x14ac:dyDescent="0.2">
      <c r="A76" t="s">
        <v>88</v>
      </c>
      <c r="B76" t="s">
        <v>87</v>
      </c>
    </row>
    <row r="77" spans="1:2" x14ac:dyDescent="0.2">
      <c r="A77" t="s">
        <v>90</v>
      </c>
      <c r="B77" t="s">
        <v>89</v>
      </c>
    </row>
    <row r="78" spans="1:2" x14ac:dyDescent="0.2">
      <c r="A78" t="s">
        <v>679</v>
      </c>
      <c r="B78" t="s">
        <v>680</v>
      </c>
    </row>
    <row r="79" spans="1:2" x14ac:dyDescent="0.2">
      <c r="A79" t="s">
        <v>96</v>
      </c>
      <c r="B79" t="s">
        <v>95</v>
      </c>
    </row>
    <row r="80" spans="1:2" x14ac:dyDescent="0.2">
      <c r="A80" t="s">
        <v>103</v>
      </c>
      <c r="B80" t="s">
        <v>102</v>
      </c>
    </row>
    <row r="81" spans="1:3" x14ac:dyDescent="0.2">
      <c r="A81" t="s">
        <v>98</v>
      </c>
      <c r="B81" t="s">
        <v>97</v>
      </c>
    </row>
    <row r="82" spans="1:3" x14ac:dyDescent="0.2">
      <c r="A82" t="s">
        <v>92</v>
      </c>
      <c r="B82" t="s">
        <v>91</v>
      </c>
    </row>
    <row r="83" spans="1:3" x14ac:dyDescent="0.2">
      <c r="A83" t="s">
        <v>94</v>
      </c>
      <c r="B83" t="s">
        <v>93</v>
      </c>
    </row>
    <row r="84" spans="1:3" x14ac:dyDescent="0.2">
      <c r="A84" t="s">
        <v>101</v>
      </c>
      <c r="B84" t="s">
        <v>100</v>
      </c>
    </row>
    <row r="85" spans="1:3" x14ac:dyDescent="0.2">
      <c r="A85" t="s">
        <v>244</v>
      </c>
      <c r="B85" t="s">
        <v>99</v>
      </c>
      <c r="C85" t="s">
        <v>99</v>
      </c>
    </row>
    <row r="86" spans="1:3" x14ac:dyDescent="0.2">
      <c r="A86" t="s">
        <v>112</v>
      </c>
      <c r="B86" t="s">
        <v>111</v>
      </c>
    </row>
    <row r="87" spans="1:3" x14ac:dyDescent="0.2">
      <c r="A87" t="s">
        <v>15</v>
      </c>
      <c r="B87" t="s">
        <v>14</v>
      </c>
    </row>
    <row r="88" spans="1:3" x14ac:dyDescent="0.2">
      <c r="A88" t="s">
        <v>0</v>
      </c>
      <c r="B88" t="s">
        <v>113</v>
      </c>
    </row>
    <row r="89" spans="1:3" x14ac:dyDescent="0.2">
      <c r="A89" t="s">
        <v>251</v>
      </c>
      <c r="B89" t="s">
        <v>104</v>
      </c>
    </row>
    <row r="90" spans="1:3" x14ac:dyDescent="0.2">
      <c r="A90" t="s">
        <v>117</v>
      </c>
      <c r="B90" t="s">
        <v>116</v>
      </c>
    </row>
    <row r="91" spans="1:3" x14ac:dyDescent="0.2">
      <c r="A91" t="s">
        <v>681</v>
      </c>
      <c r="B91" t="s">
        <v>682</v>
      </c>
    </row>
    <row r="92" spans="1:3" x14ac:dyDescent="0.2">
      <c r="A92" t="s">
        <v>5</v>
      </c>
      <c r="B92" t="s">
        <v>118</v>
      </c>
    </row>
    <row r="93" spans="1:3" x14ac:dyDescent="0.2">
      <c r="A93" t="s">
        <v>683</v>
      </c>
      <c r="B93" t="s">
        <v>684</v>
      </c>
    </row>
    <row r="94" spans="1:3" x14ac:dyDescent="0.2">
      <c r="A94" t="s">
        <v>120</v>
      </c>
      <c r="B94" t="s">
        <v>119</v>
      </c>
    </row>
    <row r="95" spans="1:3" x14ac:dyDescent="0.2">
      <c r="A95" t="s">
        <v>7</v>
      </c>
      <c r="B95" t="s">
        <v>124</v>
      </c>
    </row>
    <row r="96" spans="1:3" x14ac:dyDescent="0.2">
      <c r="A96" t="s">
        <v>126</v>
      </c>
      <c r="B96" t="s">
        <v>125</v>
      </c>
    </row>
    <row r="97" spans="1:2" x14ac:dyDescent="0.2">
      <c r="A97" t="s">
        <v>236</v>
      </c>
      <c r="B97" t="s">
        <v>121</v>
      </c>
    </row>
    <row r="98" spans="1:2" x14ac:dyDescent="0.2">
      <c r="A98" t="s">
        <v>128</v>
      </c>
      <c r="B98" t="s">
        <v>127</v>
      </c>
    </row>
    <row r="99" spans="1:2" x14ac:dyDescent="0.2">
      <c r="A99" t="s">
        <v>123</v>
      </c>
      <c r="B99" t="s">
        <v>122</v>
      </c>
    </row>
    <row r="100" spans="1:2" x14ac:dyDescent="0.2">
      <c r="A100" t="s">
        <v>130</v>
      </c>
      <c r="B100" t="s">
        <v>129</v>
      </c>
    </row>
    <row r="101" spans="1:2" x14ac:dyDescent="0.2">
      <c r="A101" t="s">
        <v>132</v>
      </c>
      <c r="B101" t="s">
        <v>131</v>
      </c>
    </row>
    <row r="102" spans="1:2" x14ac:dyDescent="0.2">
      <c r="A102" t="s">
        <v>134</v>
      </c>
      <c r="B102" t="s">
        <v>133</v>
      </c>
    </row>
    <row r="103" spans="1:2" x14ac:dyDescent="0.2">
      <c r="A103" t="s">
        <v>685</v>
      </c>
      <c r="B103" t="s">
        <v>686</v>
      </c>
    </row>
    <row r="104" spans="1:2" x14ac:dyDescent="0.2">
      <c r="A104" t="s">
        <v>2</v>
      </c>
      <c r="B104" t="s">
        <v>135</v>
      </c>
    </row>
    <row r="105" spans="1:2" x14ac:dyDescent="0.2">
      <c r="A105" t="s">
        <v>687</v>
      </c>
      <c r="B105" t="s">
        <v>688</v>
      </c>
    </row>
    <row r="106" spans="1:2" x14ac:dyDescent="0.2">
      <c r="A106" t="s">
        <v>137</v>
      </c>
      <c r="B106" t="s">
        <v>136</v>
      </c>
    </row>
    <row r="107" spans="1:2" x14ac:dyDescent="0.2">
      <c r="A107" t="s">
        <v>567</v>
      </c>
      <c r="B107" t="s">
        <v>568</v>
      </c>
    </row>
    <row r="108" spans="1:2" x14ac:dyDescent="0.2">
      <c r="A108" t="s">
        <v>689</v>
      </c>
      <c r="B108" t="s">
        <v>690</v>
      </c>
    </row>
    <row r="109" spans="1:2" x14ac:dyDescent="0.2">
      <c r="A109" t="s">
        <v>143</v>
      </c>
      <c r="B109" t="s">
        <v>142</v>
      </c>
    </row>
    <row r="110" spans="1:2" x14ac:dyDescent="0.2">
      <c r="A110" t="s">
        <v>145</v>
      </c>
      <c r="B110" t="s">
        <v>144</v>
      </c>
    </row>
    <row r="111" spans="1:2" x14ac:dyDescent="0.2">
      <c r="A111" t="s">
        <v>147</v>
      </c>
      <c r="B111" t="s">
        <v>146</v>
      </c>
    </row>
    <row r="112" spans="1:2" x14ac:dyDescent="0.2">
      <c r="A112" t="s">
        <v>153</v>
      </c>
      <c r="B112" t="s">
        <v>152</v>
      </c>
    </row>
    <row r="113" spans="1:3" x14ac:dyDescent="0.2">
      <c r="A113" t="s">
        <v>569</v>
      </c>
      <c r="B113" t="s">
        <v>570</v>
      </c>
    </row>
    <row r="114" spans="1:3" x14ac:dyDescent="0.2">
      <c r="A114" t="s">
        <v>149</v>
      </c>
      <c r="B114" t="s">
        <v>148</v>
      </c>
    </row>
    <row r="115" spans="1:3" x14ac:dyDescent="0.2">
      <c r="A115" t="s">
        <v>140</v>
      </c>
      <c r="B115" t="s">
        <v>139</v>
      </c>
    </row>
    <row r="116" spans="1:3" x14ac:dyDescent="0.2">
      <c r="A116" t="s">
        <v>151</v>
      </c>
      <c r="B116" t="s">
        <v>150</v>
      </c>
    </row>
    <row r="117" spans="1:3" x14ac:dyDescent="0.2">
      <c r="A117" t="s">
        <v>240</v>
      </c>
      <c r="B117" t="s">
        <v>138</v>
      </c>
      <c r="C117" t="s">
        <v>225</v>
      </c>
    </row>
    <row r="118" spans="1:3" x14ac:dyDescent="0.2">
      <c r="A118" t="s">
        <v>571</v>
      </c>
      <c r="B118" t="s">
        <v>572</v>
      </c>
    </row>
    <row r="119" spans="1:3" x14ac:dyDescent="0.2">
      <c r="A119" t="s">
        <v>155</v>
      </c>
      <c r="B119" t="s">
        <v>154</v>
      </c>
    </row>
    <row r="120" spans="1:3" x14ac:dyDescent="0.2">
      <c r="A120" t="s">
        <v>573</v>
      </c>
      <c r="B120" t="s">
        <v>574</v>
      </c>
    </row>
    <row r="121" spans="1:3" x14ac:dyDescent="0.2">
      <c r="A121" t="s">
        <v>575</v>
      </c>
      <c r="B121" t="s">
        <v>576</v>
      </c>
    </row>
    <row r="122" spans="1:3" x14ac:dyDescent="0.2">
      <c r="A122" t="s">
        <v>250</v>
      </c>
      <c r="B122" t="s">
        <v>156</v>
      </c>
    </row>
    <row r="123" spans="1:3" x14ac:dyDescent="0.2">
      <c r="A123" t="s">
        <v>158</v>
      </c>
      <c r="B123" t="s">
        <v>157</v>
      </c>
    </row>
    <row r="124" spans="1:3" x14ac:dyDescent="0.2">
      <c r="A124" t="s">
        <v>577</v>
      </c>
      <c r="B124" t="s">
        <v>578</v>
      </c>
    </row>
    <row r="125" spans="1:3" x14ac:dyDescent="0.2">
      <c r="A125" t="s">
        <v>579</v>
      </c>
      <c r="B125" t="s">
        <v>580</v>
      </c>
    </row>
    <row r="126" spans="1:3" x14ac:dyDescent="0.2">
      <c r="A126" t="s">
        <v>691</v>
      </c>
      <c r="B126" t="s">
        <v>692</v>
      </c>
    </row>
    <row r="127" spans="1:3" x14ac:dyDescent="0.2">
      <c r="A127" t="s">
        <v>160</v>
      </c>
      <c r="B127" t="s">
        <v>159</v>
      </c>
    </row>
    <row r="128" spans="1:3" x14ac:dyDescent="0.2">
      <c r="A128" t="s">
        <v>693</v>
      </c>
      <c r="B128" t="s">
        <v>694</v>
      </c>
    </row>
    <row r="129" spans="1:4" x14ac:dyDescent="0.2">
      <c r="A129" t="s">
        <v>162</v>
      </c>
      <c r="B129" t="s">
        <v>161</v>
      </c>
    </row>
    <row r="130" spans="1:4" x14ac:dyDescent="0.2">
      <c r="A130" t="s">
        <v>695</v>
      </c>
      <c r="B130" t="s">
        <v>696</v>
      </c>
    </row>
    <row r="131" spans="1:4" x14ac:dyDescent="0.2">
      <c r="A131" t="s">
        <v>164</v>
      </c>
      <c r="B131" t="s">
        <v>163</v>
      </c>
    </row>
    <row r="132" spans="1:4" x14ac:dyDescent="0.2">
      <c r="A132" t="s">
        <v>166</v>
      </c>
      <c r="B132" t="s">
        <v>165</v>
      </c>
    </row>
    <row r="133" spans="1:4" x14ac:dyDescent="0.2">
      <c r="A133" t="s">
        <v>168</v>
      </c>
      <c r="B133" t="s">
        <v>167</v>
      </c>
    </row>
    <row r="134" spans="1:4" x14ac:dyDescent="0.2">
      <c r="A134" t="s">
        <v>697</v>
      </c>
      <c r="B134" t="s">
        <v>698</v>
      </c>
    </row>
    <row r="135" spans="1:4" x14ac:dyDescent="0.2">
      <c r="A135" t="s">
        <v>170</v>
      </c>
      <c r="B135" t="s">
        <v>169</v>
      </c>
    </row>
    <row r="136" spans="1:4" x14ac:dyDescent="0.2">
      <c r="A136" t="s">
        <v>581</v>
      </c>
      <c r="B136" t="s">
        <v>582</v>
      </c>
    </row>
    <row r="137" spans="1:4" x14ac:dyDescent="0.2">
      <c r="A137" t="s">
        <v>699</v>
      </c>
      <c r="B137" t="s">
        <v>700</v>
      </c>
    </row>
    <row r="138" spans="1:4" x14ac:dyDescent="0.2">
      <c r="A138" t="s">
        <v>172</v>
      </c>
      <c r="B138" t="s">
        <v>171</v>
      </c>
    </row>
    <row r="139" spans="1:4" x14ac:dyDescent="0.2">
      <c r="A139" t="s">
        <v>245</v>
      </c>
      <c r="B139" t="s">
        <v>141</v>
      </c>
      <c r="C139" t="s">
        <v>226</v>
      </c>
      <c r="D139" t="s">
        <v>230</v>
      </c>
    </row>
    <row r="140" spans="1:4" x14ac:dyDescent="0.2">
      <c r="A140" t="s">
        <v>8</v>
      </c>
      <c r="B140" t="s">
        <v>173</v>
      </c>
    </row>
    <row r="141" spans="1:4" x14ac:dyDescent="0.2">
      <c r="A141" t="s">
        <v>220</v>
      </c>
      <c r="B141" t="s">
        <v>219</v>
      </c>
    </row>
    <row r="142" spans="1:4" x14ac:dyDescent="0.2">
      <c r="A142" t="s">
        <v>175</v>
      </c>
      <c r="B142" t="s">
        <v>174</v>
      </c>
    </row>
    <row r="143" spans="1:4" x14ac:dyDescent="0.2">
      <c r="A143" t="s">
        <v>177</v>
      </c>
      <c r="B143" t="s">
        <v>176</v>
      </c>
    </row>
    <row r="144" spans="1:4" x14ac:dyDescent="0.2">
      <c r="A144" t="s">
        <v>179</v>
      </c>
      <c r="B144" t="s">
        <v>178</v>
      </c>
    </row>
    <row r="145" spans="1:2" x14ac:dyDescent="0.2">
      <c r="A145" t="s">
        <v>181</v>
      </c>
      <c r="B145" t="s">
        <v>180</v>
      </c>
    </row>
    <row r="146" spans="1:2" x14ac:dyDescent="0.2">
      <c r="A146" t="s">
        <v>183</v>
      </c>
      <c r="B146" t="s">
        <v>182</v>
      </c>
    </row>
    <row r="147" spans="1:2" x14ac:dyDescent="0.2">
      <c r="A147" t="s">
        <v>701</v>
      </c>
      <c r="B147" t="s">
        <v>702</v>
      </c>
    </row>
    <row r="148" spans="1:2" x14ac:dyDescent="0.2">
      <c r="A148" t="s">
        <v>248</v>
      </c>
      <c r="B148" t="s">
        <v>255</v>
      </c>
    </row>
    <row r="149" spans="1:2" x14ac:dyDescent="0.2">
      <c r="A149" t="s">
        <v>185</v>
      </c>
      <c r="B149" t="s">
        <v>184</v>
      </c>
    </row>
    <row r="150" spans="1:2" x14ac:dyDescent="0.2">
      <c r="A150" t="s">
        <v>187</v>
      </c>
      <c r="B150" t="s">
        <v>186</v>
      </c>
    </row>
    <row r="151" spans="1:2" x14ac:dyDescent="0.2">
      <c r="A151" t="s">
        <v>704</v>
      </c>
      <c r="B151" t="s">
        <v>703</v>
      </c>
    </row>
    <row r="152" spans="1:2" x14ac:dyDescent="0.2">
      <c r="A152" t="s">
        <v>705</v>
      </c>
      <c r="B152" t="s">
        <v>706</v>
      </c>
    </row>
    <row r="153" spans="1:2" x14ac:dyDescent="0.2">
      <c r="A153" t="s">
        <v>583</v>
      </c>
      <c r="B153" t="s">
        <v>584</v>
      </c>
    </row>
    <row r="154" spans="1:2" x14ac:dyDescent="0.2">
      <c r="A154" t="s">
        <v>191</v>
      </c>
      <c r="B154" t="s">
        <v>190</v>
      </c>
    </row>
    <row r="155" spans="1:2" x14ac:dyDescent="0.2">
      <c r="A155" t="s">
        <v>707</v>
      </c>
      <c r="B155" t="s">
        <v>708</v>
      </c>
    </row>
    <row r="156" spans="1:2" x14ac:dyDescent="0.2">
      <c r="A156" t="s">
        <v>193</v>
      </c>
      <c r="B156" t="s">
        <v>192</v>
      </c>
    </row>
    <row r="157" spans="1:2" x14ac:dyDescent="0.2">
      <c r="A157" t="s">
        <v>195</v>
      </c>
      <c r="B157" t="s">
        <v>194</v>
      </c>
    </row>
    <row r="158" spans="1:2" x14ac:dyDescent="0.2">
      <c r="A158" t="s">
        <v>585</v>
      </c>
      <c r="B158" t="s">
        <v>586</v>
      </c>
    </row>
    <row r="159" spans="1:2" x14ac:dyDescent="0.2">
      <c r="A159" t="s">
        <v>197</v>
      </c>
      <c r="B159" t="s">
        <v>196</v>
      </c>
    </row>
    <row r="160" spans="1:2" x14ac:dyDescent="0.2">
      <c r="A160" t="s">
        <v>587</v>
      </c>
      <c r="B160" t="s">
        <v>588</v>
      </c>
    </row>
    <row r="161" spans="1:2" x14ac:dyDescent="0.2">
      <c r="A161" t="s">
        <v>709</v>
      </c>
      <c r="B161" t="s">
        <v>710</v>
      </c>
    </row>
    <row r="162" spans="1:2" x14ac:dyDescent="0.2">
      <c r="A162" t="s">
        <v>589</v>
      </c>
      <c r="B162" t="s">
        <v>590</v>
      </c>
    </row>
    <row r="163" spans="1:2" x14ac:dyDescent="0.2">
      <c r="A163" t="s">
        <v>208</v>
      </c>
      <c r="B163" t="s">
        <v>207</v>
      </c>
    </row>
    <row r="164" spans="1:2" x14ac:dyDescent="0.2">
      <c r="A164" t="s">
        <v>711</v>
      </c>
      <c r="B164" t="s">
        <v>712</v>
      </c>
    </row>
    <row r="165" spans="1:2" x14ac:dyDescent="0.2">
      <c r="A165" t="s">
        <v>216</v>
      </c>
      <c r="B165" t="s">
        <v>215</v>
      </c>
    </row>
    <row r="166" spans="1:2" x14ac:dyDescent="0.2">
      <c r="A166" t="s">
        <v>218</v>
      </c>
      <c r="B166" t="s">
        <v>217</v>
      </c>
    </row>
    <row r="167" spans="1:2" x14ac:dyDescent="0.2">
      <c r="A167" t="s">
        <v>201</v>
      </c>
      <c r="B167" t="s">
        <v>200</v>
      </c>
    </row>
    <row r="168" spans="1:2" x14ac:dyDescent="0.2">
      <c r="A168" t="s">
        <v>591</v>
      </c>
      <c r="B168" t="s">
        <v>592</v>
      </c>
    </row>
    <row r="169" spans="1:2" x14ac:dyDescent="0.2">
      <c r="A169" t="s">
        <v>204</v>
      </c>
      <c r="B169" t="s">
        <v>203</v>
      </c>
    </row>
    <row r="170" spans="1:2" x14ac:dyDescent="0.2">
      <c r="A170" t="s">
        <v>206</v>
      </c>
      <c r="B170" t="s">
        <v>205</v>
      </c>
    </row>
    <row r="171" spans="1:2" x14ac:dyDescent="0.2">
      <c r="A171" t="s">
        <v>6</v>
      </c>
      <c r="B171" t="s">
        <v>202</v>
      </c>
    </row>
    <row r="172" spans="1:2" x14ac:dyDescent="0.2">
      <c r="A172" t="s">
        <v>212</v>
      </c>
      <c r="B172" t="s">
        <v>211</v>
      </c>
    </row>
    <row r="173" spans="1:2" x14ac:dyDescent="0.2">
      <c r="A173" t="s">
        <v>210</v>
      </c>
      <c r="B173" t="s">
        <v>209</v>
      </c>
    </row>
    <row r="174" spans="1:2" x14ac:dyDescent="0.2">
      <c r="A174" t="s">
        <v>199</v>
      </c>
      <c r="B174" t="s">
        <v>198</v>
      </c>
    </row>
    <row r="175" spans="1:2" x14ac:dyDescent="0.2">
      <c r="A175" t="s">
        <v>593</v>
      </c>
      <c r="B175" t="s">
        <v>594</v>
      </c>
    </row>
    <row r="176" spans="1:2" x14ac:dyDescent="0.2">
      <c r="A176" t="s">
        <v>3</v>
      </c>
      <c r="B176" t="s">
        <v>221</v>
      </c>
    </row>
    <row r="177" spans="1:2" x14ac:dyDescent="0.2">
      <c r="A177" t="s">
        <v>12</v>
      </c>
      <c r="B177" t="s">
        <v>222</v>
      </c>
    </row>
  </sheetData>
  <sortState xmlns:xlrd2="http://schemas.microsoft.com/office/spreadsheetml/2017/richdata2" ref="A2:D177">
    <sortCondition ref="A2:A1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C2A8-7AC4-6D4D-BE3F-6A4B55581B8A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s="1" t="s">
        <v>254</v>
      </c>
    </row>
    <row r="2" spans="1:1" x14ac:dyDescent="0.2">
      <c r="A2" s="3" t="s">
        <v>253</v>
      </c>
    </row>
  </sheetData>
  <hyperlinks>
    <hyperlink ref="A2" r:id="rId1" xr:uid="{24F878EA-12F7-374A-AA12-4A8539B1CF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antibiotic_map</vt:lpstr>
      <vt:lpstr>antibiotic_code_map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Pak, Theodore</cp:lastModifiedBy>
  <dcterms:created xsi:type="dcterms:W3CDTF">2025-05-06T00:34:24Z</dcterms:created>
  <dcterms:modified xsi:type="dcterms:W3CDTF">2026-03-03T06:27:49Z</dcterms:modified>
</cp:coreProperties>
</file>